
<file path=[Content_Types].xml><?xml version="1.0" encoding="utf-8"?>
<Types xmlns="http://schemas.openxmlformats.org/package/2006/content-types">
  <Default Extension="bin" ContentType="application/vnd.ms-office.vbaProject"/>
  <Default Extension="emf" ContentType="image/x-emf"/>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202300"/>
  <mc:AlternateContent xmlns:mc="http://schemas.openxmlformats.org/markup-compatibility/2006">
    <mc:Choice Requires="x15">
      <x15ac:absPath xmlns:x15ac="http://schemas.microsoft.com/office/spreadsheetml/2010/11/ac" url="C:\Users\USER\Desktop\"/>
    </mc:Choice>
  </mc:AlternateContent>
  <xr:revisionPtr revIDLastSave="0" documentId="13_ncr:9_{C7DABF1B-9888-41FC-9581-E43B0BCF9F97}" xr6:coauthVersionLast="47" xr6:coauthVersionMax="47" xr10:uidLastSave="{00000000-0000-0000-0000-000000000000}"/>
  <bookViews>
    <workbookView xWindow="-108" yWindow="-108" windowWidth="23256" windowHeight="12456" activeTab="4" xr2:uid="{3463A320-096E-4036-BDE5-545DB2C1E961}"/>
  </bookViews>
  <sheets>
    <sheet name="diabetes Dataset" sheetId="1" r:id="rId1"/>
    <sheet name="Pivot Table" sheetId="3" r:id="rId2"/>
    <sheet name="Dashboard" sheetId="4" r:id="rId3"/>
    <sheet name="parameters" sheetId="2" r:id="rId4"/>
    <sheet name="App" sheetId="5" r:id="rId5"/>
    <sheet name="Data" sheetId="6" r:id="rId6"/>
    <sheet name="wrogh " sheetId="7" r:id="rId7"/>
  </sheets>
  <definedNames>
    <definedName name="_xlnm._FilterDatabase" localSheetId="0" hidden="1">'diabetes Dataset'!$A$1:$O$1</definedName>
    <definedName name="_xleta.EVEN" hidden="1" xlm="1">#NAME?</definedName>
    <definedName name="_xleta.IF" hidden="1" xlm="1">#NAME?</definedName>
    <definedName name="_xleta.ODD" hidden="1" xlm="1">#NAME?</definedName>
    <definedName name="Slicer_Month">#N/A</definedName>
    <definedName name="Slicer_Year">#N/A</definedName>
  </definedNames>
  <calcPr calcId="0"/>
  <pivotCaches>
    <pivotCache cacheId="1673" r:id="rId8"/>
  </pivotCaches>
  <extLst>
    <ext xmlns:x14="http://schemas.microsoft.com/office/spreadsheetml/2009/9/main" uri="{BBE1A952-AA13-448e-AADC-164F8A28A991}">
      <x14:slicerCaches>
        <x14:slicerCache r:id="rId9"/>
        <x14:slicerCache r:id="rId10"/>
      </x14:slicerCaches>
    </ext>
    <ext xmlns:x14="http://schemas.microsoft.com/office/spreadsheetml/2009/9/main" uri="{79F54976-1DA5-4618-B147-4CDE4B953A38}">
      <x14:workbookPr/>
    </ext>
  </extLst>
</workbook>
</file>

<file path=xl/calcChain.xml><?xml version="1.0" encoding="utf-8"?>
<calcChain xmlns="http://schemas.openxmlformats.org/spreadsheetml/2006/main">
  <c r="F21" i="5" l="1"/>
  <c r="G5" i="5" s="1"/>
  <c r="D3"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7" i="1"/>
  <c r="D258" i="1"/>
  <c r="D259" i="1"/>
  <c r="D26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D358" i="1"/>
  <c r="D359" i="1"/>
  <c r="D360" i="1"/>
  <c r="D361" i="1"/>
  <c r="D362" i="1"/>
  <c r="D363" i="1"/>
  <c r="D364" i="1"/>
  <c r="D365" i="1"/>
  <c r="D366" i="1"/>
  <c r="D367" i="1"/>
  <c r="D368" i="1"/>
  <c r="D369" i="1"/>
  <c r="D370" i="1"/>
  <c r="D371" i="1"/>
  <c r="D372" i="1"/>
  <c r="D373" i="1"/>
  <c r="D374" i="1"/>
  <c r="D375" i="1"/>
  <c r="D376" i="1"/>
  <c r="D377" i="1"/>
  <c r="D378" i="1"/>
  <c r="D379" i="1"/>
  <c r="D380" i="1"/>
  <c r="D381" i="1"/>
  <c r="D382" i="1"/>
  <c r="D383" i="1"/>
  <c r="D384" i="1"/>
  <c r="D385" i="1"/>
  <c r="D386" i="1"/>
  <c r="D387" i="1"/>
  <c r="D388" i="1"/>
  <c r="D389" i="1"/>
  <c r="D390" i="1"/>
  <c r="D391" i="1"/>
  <c r="D392" i="1"/>
  <c r="D393" i="1"/>
  <c r="D394" i="1"/>
  <c r="D395" i="1"/>
  <c r="D396" i="1"/>
  <c r="D397" i="1"/>
  <c r="D398" i="1"/>
  <c r="D399" i="1"/>
  <c r="D400" i="1"/>
  <c r="D401" i="1"/>
  <c r="D402" i="1"/>
  <c r="D403" i="1"/>
  <c r="D404" i="1"/>
  <c r="D405" i="1"/>
  <c r="D406" i="1"/>
  <c r="D407" i="1"/>
  <c r="D408" i="1"/>
  <c r="D409" i="1"/>
  <c r="D410" i="1"/>
  <c r="D411" i="1"/>
  <c r="D412" i="1"/>
  <c r="D413" i="1"/>
  <c r="D414" i="1"/>
  <c r="D415" i="1"/>
  <c r="D416" i="1"/>
  <c r="D417" i="1"/>
  <c r="D418" i="1"/>
  <c r="D419" i="1"/>
  <c r="D420" i="1"/>
  <c r="D421" i="1"/>
  <c r="D422" i="1"/>
  <c r="D423" i="1"/>
  <c r="D424" i="1"/>
  <c r="D425" i="1"/>
  <c r="D426" i="1"/>
  <c r="D427" i="1"/>
  <c r="D428" i="1"/>
  <c r="D429" i="1"/>
  <c r="D430" i="1"/>
  <c r="D431" i="1"/>
  <c r="D432" i="1"/>
  <c r="D433" i="1"/>
  <c r="D434" i="1"/>
  <c r="D435" i="1"/>
  <c r="D436" i="1"/>
  <c r="D437" i="1"/>
  <c r="D438" i="1"/>
  <c r="D439" i="1"/>
  <c r="D440" i="1"/>
  <c r="D441" i="1"/>
  <c r="D442" i="1"/>
  <c r="D443" i="1"/>
  <c r="D444" i="1"/>
  <c r="D445" i="1"/>
  <c r="D446" i="1"/>
  <c r="D447" i="1"/>
  <c r="D448" i="1"/>
  <c r="D449" i="1"/>
  <c r="D450" i="1"/>
  <c r="D451" i="1"/>
  <c r="D452" i="1"/>
  <c r="D453" i="1"/>
  <c r="D454" i="1"/>
  <c r="D455" i="1"/>
  <c r="D456" i="1"/>
  <c r="D457" i="1"/>
  <c r="D458" i="1"/>
  <c r="D459" i="1"/>
  <c r="D460" i="1"/>
  <c r="D461" i="1"/>
  <c r="D462" i="1"/>
  <c r="D463" i="1"/>
  <c r="D464" i="1"/>
  <c r="D465" i="1"/>
  <c r="D466" i="1"/>
  <c r="D467" i="1"/>
  <c r="D468" i="1"/>
  <c r="D469" i="1"/>
  <c r="D470" i="1"/>
  <c r="D471" i="1"/>
  <c r="D472" i="1"/>
  <c r="D473" i="1"/>
  <c r="D474" i="1"/>
  <c r="D475" i="1"/>
  <c r="D476" i="1"/>
  <c r="D477" i="1"/>
  <c r="D478" i="1"/>
  <c r="D479" i="1"/>
  <c r="D480" i="1"/>
  <c r="D481" i="1"/>
  <c r="D482" i="1"/>
  <c r="D483" i="1"/>
  <c r="D484" i="1"/>
  <c r="D485" i="1"/>
  <c r="D486" i="1"/>
  <c r="D487" i="1"/>
  <c r="D488" i="1"/>
  <c r="D489" i="1"/>
  <c r="D490" i="1"/>
  <c r="D491" i="1"/>
  <c r="D492" i="1"/>
  <c r="D493" i="1"/>
  <c r="D494" i="1"/>
  <c r="D495" i="1"/>
  <c r="D496" i="1"/>
  <c r="D497" i="1"/>
  <c r="D498" i="1"/>
  <c r="D499" i="1"/>
  <c r="D500" i="1"/>
  <c r="D501" i="1"/>
  <c r="D502" i="1"/>
  <c r="D503" i="1"/>
  <c r="D504" i="1"/>
  <c r="D505" i="1"/>
  <c r="D506" i="1"/>
  <c r="D507" i="1"/>
  <c r="D508" i="1"/>
  <c r="D509" i="1"/>
  <c r="D510" i="1"/>
  <c r="D511" i="1"/>
  <c r="D512" i="1"/>
  <c r="D513" i="1"/>
  <c r="D514" i="1"/>
  <c r="D515" i="1"/>
  <c r="D516" i="1"/>
  <c r="D517" i="1"/>
  <c r="D518" i="1"/>
  <c r="D519" i="1"/>
  <c r="D520" i="1"/>
  <c r="D521" i="1"/>
  <c r="D522" i="1"/>
  <c r="D523" i="1"/>
  <c r="D524" i="1"/>
  <c r="D525" i="1"/>
  <c r="D526" i="1"/>
  <c r="D527" i="1"/>
  <c r="D528" i="1"/>
  <c r="D529" i="1"/>
  <c r="D530" i="1"/>
  <c r="D531" i="1"/>
  <c r="D532" i="1"/>
  <c r="D533" i="1"/>
  <c r="D534" i="1"/>
  <c r="D535" i="1"/>
  <c r="D536" i="1"/>
  <c r="D537" i="1"/>
  <c r="D538" i="1"/>
  <c r="D539" i="1"/>
  <c r="D540" i="1"/>
  <c r="D541" i="1"/>
  <c r="D542" i="1"/>
  <c r="D543" i="1"/>
  <c r="D544" i="1"/>
  <c r="D545" i="1"/>
  <c r="D546" i="1"/>
  <c r="D547" i="1"/>
  <c r="D548" i="1"/>
  <c r="D549" i="1"/>
  <c r="D550" i="1"/>
  <c r="D551" i="1"/>
  <c r="D552" i="1"/>
  <c r="D553" i="1"/>
  <c r="D554" i="1"/>
  <c r="D555" i="1"/>
  <c r="D556" i="1"/>
  <c r="D557" i="1"/>
  <c r="D558" i="1"/>
  <c r="D559" i="1"/>
  <c r="D560" i="1"/>
  <c r="D561" i="1"/>
  <c r="D562" i="1"/>
  <c r="D563" i="1"/>
  <c r="D564" i="1"/>
  <c r="D565" i="1"/>
  <c r="D566" i="1"/>
  <c r="D567" i="1"/>
  <c r="D568" i="1"/>
  <c r="D569" i="1"/>
  <c r="D570" i="1"/>
  <c r="D571" i="1"/>
  <c r="D572" i="1"/>
  <c r="D573" i="1"/>
  <c r="D574" i="1"/>
  <c r="D575" i="1"/>
  <c r="D576" i="1"/>
  <c r="D577" i="1"/>
  <c r="D578" i="1"/>
  <c r="D579" i="1"/>
  <c r="D580" i="1"/>
  <c r="D581" i="1"/>
  <c r="D582" i="1"/>
  <c r="D583" i="1"/>
  <c r="D584" i="1"/>
  <c r="D585" i="1"/>
  <c r="D2" i="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2" i="1"/>
  <c r="L18" i="5"/>
  <c r="L16" i="5"/>
  <c r="L14" i="5"/>
  <c r="L12" i="5"/>
  <c r="L10" i="5"/>
  <c r="L8" i="5"/>
  <c r="L4" i="5"/>
  <c r="U10" i="5"/>
  <c r="K14" i="5"/>
  <c r="U7" i="5"/>
  <c r="U3" i="5"/>
  <c r="U4" i="5"/>
  <c r="U5" i="5"/>
  <c r="U6" i="5"/>
  <c r="U8" i="5"/>
  <c r="U9" i="5"/>
  <c r="K18" i="5"/>
  <c r="K16" i="5"/>
  <c r="K12" i="5"/>
  <c r="K10" i="5"/>
  <c r="K8" i="5"/>
  <c r="K6" i="5"/>
  <c r="K4" i="5"/>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2" i="1"/>
  <c r="D5" i="5" l="1"/>
</calcChain>
</file>

<file path=xl/sharedStrings.xml><?xml version="1.0" encoding="utf-8"?>
<sst xmlns="http://schemas.openxmlformats.org/spreadsheetml/2006/main" count="1287" uniqueCount="82">
  <si>
    <t>Glucose</t>
  </si>
  <si>
    <t>BloodPressure</t>
  </si>
  <si>
    <t>SkinThickness</t>
  </si>
  <si>
    <t>Insulin</t>
  </si>
  <si>
    <t>BMI</t>
  </si>
  <si>
    <t>DiabetesPedigreeFunction</t>
  </si>
  <si>
    <t>Age</t>
  </si>
  <si>
    <t>Outcome</t>
  </si>
  <si>
    <t>Male</t>
  </si>
  <si>
    <t>Female</t>
  </si>
  <si>
    <t>Date</t>
  </si>
  <si>
    <t>Gender</t>
  </si>
  <si>
    <t>ID</t>
  </si>
  <si>
    <t>Result</t>
  </si>
  <si>
    <t>Glucose (mg/dL)</t>
  </si>
  <si>
    <t>Parameter</t>
  </si>
  <si>
    <t>High Risk</t>
  </si>
  <si>
    <t>70 – 99</t>
  </si>
  <si>
    <t>Blood Pressure (mm Hg)</t>
  </si>
  <si>
    <t>Skin Thickness (mm)</t>
  </si>
  <si>
    <t>Insulin (μU/mL)</t>
  </si>
  <si>
    <t>2 – 25</t>
  </si>
  <si>
    <t>BMI (kg/m²)</t>
  </si>
  <si>
    <t>18.5 – 24.9</t>
  </si>
  <si>
    <t>Diabetes Pedigree Function</t>
  </si>
  <si>
    <t>Normal Range</t>
  </si>
  <si>
    <t>Abnormal Range</t>
  </si>
  <si>
    <t>&lt; 70 or ≥ 100</t>
  </si>
  <si>
    <t>systolic</t>
  </si>
  <si>
    <t xml:space="preserve"> 90 - 120 </t>
  </si>
  <si>
    <t>&lt;90 - &gt;120</t>
  </si>
  <si>
    <t>Diastolic</t>
  </si>
  <si>
    <t>60 - 80</t>
  </si>
  <si>
    <t>10 – 35</t>
  </si>
  <si>
    <t>&lt; 10 or &gt; 35</t>
  </si>
  <si>
    <t>&lt; 2 or &gt; 25</t>
  </si>
  <si>
    <t>&lt; 18.5 or ≥ 25</t>
  </si>
  <si>
    <t>0.0 – 0.5</t>
  </si>
  <si>
    <t>&gt; 0.5</t>
  </si>
  <si>
    <t>Age Category</t>
  </si>
  <si>
    <t>&lt;60 - &gt;80</t>
  </si>
  <si>
    <t>Count of Result</t>
  </si>
  <si>
    <t>Middle-Aged</t>
  </si>
  <si>
    <t>Old</t>
  </si>
  <si>
    <t>Young</t>
  </si>
  <si>
    <t>Diabetic</t>
  </si>
  <si>
    <t>NoneDiabetic</t>
  </si>
  <si>
    <t>Submit</t>
  </si>
  <si>
    <t>Calculations</t>
  </si>
  <si>
    <t>Submit  Calculation</t>
  </si>
  <si>
    <t>Value</t>
  </si>
  <si>
    <t>70 - 90</t>
  </si>
  <si>
    <t>90-119</t>
  </si>
  <si>
    <t>60 - 79</t>
  </si>
  <si>
    <t>18.5 - 24.9</t>
  </si>
  <si>
    <t>0.2 - 0.5</t>
  </si>
  <si>
    <t>&lt; 90 , &gt;139</t>
  </si>
  <si>
    <t>&lt; 70 , &gt;125</t>
  </si>
  <si>
    <t>10 - 35</t>
  </si>
  <si>
    <t>2 - 25</t>
  </si>
  <si>
    <t>&lt; 60 , &gt;89</t>
  </si>
  <si>
    <t>&lt; 10 , &gt;50</t>
  </si>
  <si>
    <t>&lt; 2 , &gt;100</t>
  </si>
  <si>
    <t>&lt; 18.5 , &gt; 30</t>
  </si>
  <si>
    <t>&lt; 0.2 , &gt;0.8</t>
  </si>
  <si>
    <t xml:space="preserve">Normal </t>
  </si>
  <si>
    <t>Scoring System for Each Test</t>
  </si>
  <si>
    <t>0  Points</t>
  </si>
  <si>
    <t>1  Points</t>
  </si>
  <si>
    <t>4  Points</t>
  </si>
  <si>
    <t xml:space="preserve">Moderate </t>
  </si>
  <si>
    <t>high Risk</t>
  </si>
  <si>
    <t>Total Score Range</t>
  </si>
  <si>
    <t>0-5</t>
  </si>
  <si>
    <t>6-10</t>
  </si>
  <si>
    <t>11+</t>
  </si>
  <si>
    <t xml:space="preserve">Low Risk </t>
  </si>
  <si>
    <t>Diabetes Predictive Interface</t>
  </si>
  <si>
    <t>Count of ID</t>
  </si>
  <si>
    <t>Month</t>
  </si>
  <si>
    <t>Year</t>
  </si>
  <si>
    <t>Total Points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</si>
</sst>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8"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sz val="11"/>
      <color theme="1"/>
      <name val="Wingdings 2"/>
      <family val="1"/>
      <charset val="2"/>
    </font>
    <font>
      <sz val="11"/>
      <color theme="1"/>
      <name val="Arial Black"/>
      <family val="2"/>
    </font>
    <font>
      <sz val="14"/>
      <color theme="1"/>
      <name val="Aptos Narrow"/>
      <family val="2"/>
      <scheme val="minor"/>
    </font>
    <font>
      <b/>
      <sz val="26"/>
      <color theme="3" tint="0.499984740745262"/>
      <name val="Aptos Narrow"/>
      <family val="2"/>
      <scheme val="minor"/>
    </font>
    <font>
      <b/>
      <sz val="36"/>
      <color theme="1"/>
      <name val="Aptos Narrow"/>
      <family val="2"/>
      <scheme val="minor"/>
    </font>
    <font>
      <b/>
      <sz val="28"/>
      <color theme="1"/>
      <name val="Aptos Narrow"/>
      <family val="2"/>
      <scheme val="minor"/>
    </font>
    <font>
      <b/>
      <sz val="20"/>
      <color theme="4" tint="0.39997558519241921"/>
      <name val="Aptos Narrow"/>
      <family val="2"/>
      <scheme val="minor"/>
    </font>
    <font>
      <b/>
      <sz val="11"/>
      <color theme="3" tint="0.249977111117893"/>
      <name val="Aptos Narrow"/>
      <family val="2"/>
      <scheme val="minor"/>
    </font>
    <font>
      <b/>
      <sz val="12"/>
      <color theme="1"/>
      <name val="Aptos Narrow"/>
      <family val="2"/>
      <scheme val="minor"/>
    </font>
    <font>
      <sz val="8"/>
      <name val="Aptos Narrow"/>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indexed="64"/>
      </patternFill>
    </fill>
    <fill>
      <patternFill patternType="solid">
        <fgColor theme="5" tint="0.79998168889431442"/>
        <bgColor indexed="64"/>
      </patternFill>
    </fill>
  </fills>
  <borders count="2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ck">
        <color rgb="FFFFC000"/>
      </left>
      <right style="thick">
        <color rgb="FFFFC000"/>
      </right>
      <top style="thick">
        <color rgb="FFFFC000"/>
      </top>
      <bottom style="thick">
        <color rgb="FFFFC000"/>
      </bottom>
      <diagonal/>
    </border>
    <border>
      <left style="thick">
        <color rgb="FFFFC000"/>
      </left>
      <right/>
      <top style="thick">
        <color rgb="FFFFC000"/>
      </top>
      <bottom/>
      <diagonal/>
    </border>
    <border>
      <left/>
      <right style="thick">
        <color rgb="FFFFC000"/>
      </right>
      <top style="thick">
        <color rgb="FFFFC000"/>
      </top>
      <bottom/>
      <diagonal/>
    </border>
    <border>
      <left style="thick">
        <color rgb="FFFFC000"/>
      </left>
      <right/>
      <top/>
      <bottom/>
      <diagonal/>
    </border>
    <border>
      <left/>
      <right style="thick">
        <color rgb="FFFFC000"/>
      </right>
      <top/>
      <bottom/>
      <diagonal/>
    </border>
    <border>
      <left style="thick">
        <color rgb="FFFFC000"/>
      </left>
      <right/>
      <top/>
      <bottom style="thick">
        <color rgb="FFFFC000"/>
      </bottom>
      <diagonal/>
    </border>
    <border>
      <left/>
      <right style="thick">
        <color rgb="FFFFC000"/>
      </right>
      <top/>
      <bottom style="thick">
        <color rgb="FFFFC000"/>
      </bottom>
      <diagonal/>
    </border>
    <border>
      <left/>
      <right/>
      <top style="thick">
        <color rgb="FFFFC000"/>
      </top>
      <bottom/>
      <diagonal/>
    </border>
    <border>
      <left/>
      <right/>
      <top/>
      <bottom style="thick">
        <color rgb="FFFFC000"/>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54">
    <xf numFmtId="0" fontId="0" fillId="0" borderId="0" xfId="0"/>
    <xf numFmtId="0" fontId="0" fillId="0" borderId="10" xfId="0" applyBorder="1"/>
    <xf numFmtId="14" fontId="0" fillId="0" borderId="10" xfId="0" applyNumberFormat="1" applyBorder="1"/>
    <xf numFmtId="0" fontId="16" fillId="0" borderId="10" xfId="0" applyFont="1" applyBorder="1" applyAlignment="1">
      <alignment horizontal="center" vertical="top"/>
    </xf>
    <xf numFmtId="0" fontId="16" fillId="0" borderId="10" xfId="0" applyFont="1" applyBorder="1"/>
    <xf numFmtId="0" fontId="0" fillId="0" borderId="10" xfId="0" applyBorder="1" applyAlignment="1">
      <alignment horizontal="center"/>
    </xf>
    <xf numFmtId="0" fontId="0" fillId="0" borderId="0" xfId="0" applyNumberFormat="1"/>
    <xf numFmtId="0" fontId="0" fillId="0" borderId="0" xfId="0" pivotButton="1"/>
    <xf numFmtId="0" fontId="0" fillId="0" borderId="10" xfId="0" applyFill="1" applyBorder="1"/>
    <xf numFmtId="0" fontId="0" fillId="33" borderId="0" xfId="0" applyFill="1"/>
    <xf numFmtId="0" fontId="16" fillId="0" borderId="12" xfId="0" applyFont="1" applyBorder="1"/>
    <xf numFmtId="0" fontId="0" fillId="0" borderId="0" xfId="0" applyFill="1"/>
    <xf numFmtId="0" fontId="24" fillId="34" borderId="0" xfId="0" applyFont="1" applyFill="1" applyAlignment="1">
      <alignment horizontal="center"/>
    </xf>
    <xf numFmtId="0" fontId="16" fillId="0" borderId="12" xfId="0" applyFont="1" applyBorder="1" applyAlignment="1">
      <alignment horizontal="left"/>
    </xf>
    <xf numFmtId="0" fontId="16" fillId="0" borderId="10" xfId="0" applyFont="1" applyFill="1" applyBorder="1" applyAlignment="1">
      <alignment horizontal="center" vertical="top"/>
    </xf>
    <xf numFmtId="0" fontId="16" fillId="0" borderId="10" xfId="0" applyFont="1" applyFill="1" applyBorder="1"/>
    <xf numFmtId="0" fontId="16" fillId="0" borderId="10" xfId="0" applyFont="1" applyFill="1" applyBorder="1" applyAlignment="1">
      <alignment horizontal="left"/>
    </xf>
    <xf numFmtId="0" fontId="0" fillId="0" borderId="0" xfId="0" applyFill="1" applyBorder="1"/>
    <xf numFmtId="0" fontId="21" fillId="0" borderId="0" xfId="0" applyFont="1" applyFill="1" applyAlignment="1">
      <alignment horizontal="center"/>
    </xf>
    <xf numFmtId="49" fontId="0" fillId="0" borderId="0" xfId="0" applyNumberFormat="1" applyFill="1"/>
    <xf numFmtId="0" fontId="0" fillId="34" borderId="0" xfId="0" applyFill="1"/>
    <xf numFmtId="0" fontId="19" fillId="34" borderId="0" xfId="0" applyFont="1" applyFill="1"/>
    <xf numFmtId="0" fontId="16" fillId="34" borderId="13" xfId="0" applyFont="1" applyFill="1" applyBorder="1"/>
    <xf numFmtId="0" fontId="16" fillId="34" borderId="24" xfId="0" applyFont="1" applyFill="1" applyBorder="1" applyAlignment="1">
      <alignment horizontal="center"/>
    </xf>
    <xf numFmtId="0" fontId="16" fillId="34" borderId="25" xfId="0" applyFont="1" applyFill="1" applyBorder="1" applyAlignment="1">
      <alignment horizontal="center"/>
    </xf>
    <xf numFmtId="0" fontId="0" fillId="34" borderId="14" xfId="0" applyFill="1" applyBorder="1" applyAlignment="1">
      <alignment horizontal="center"/>
    </xf>
    <xf numFmtId="0" fontId="0" fillId="34" borderId="11" xfId="0" applyFill="1" applyBorder="1" applyAlignment="1">
      <alignment horizontal="center"/>
    </xf>
    <xf numFmtId="0" fontId="18" fillId="34" borderId="10" xfId="0" applyFont="1" applyFill="1" applyBorder="1"/>
    <xf numFmtId="0" fontId="20" fillId="34" borderId="10" xfId="0" applyFont="1" applyFill="1" applyBorder="1"/>
    <xf numFmtId="0" fontId="0" fillId="34" borderId="0" xfId="0" applyFill="1" applyBorder="1"/>
    <xf numFmtId="0" fontId="22" fillId="34" borderId="18" xfId="0" applyFont="1" applyFill="1" applyBorder="1" applyAlignment="1">
      <alignment horizontal="center"/>
    </xf>
    <xf numFmtId="0" fontId="22" fillId="34" borderId="19" xfId="0" applyFont="1" applyFill="1" applyBorder="1" applyAlignment="1">
      <alignment horizontal="center"/>
    </xf>
    <xf numFmtId="0" fontId="23" fillId="34" borderId="16" xfId="0" applyFont="1" applyFill="1" applyBorder="1" applyAlignment="1">
      <alignment horizontal="center"/>
    </xf>
    <xf numFmtId="0" fontId="23" fillId="34" borderId="22" xfId="0" applyFont="1" applyFill="1" applyBorder="1" applyAlignment="1">
      <alignment horizontal="center"/>
    </xf>
    <xf numFmtId="0" fontId="23" fillId="34" borderId="17" xfId="0" applyFont="1" applyFill="1" applyBorder="1" applyAlignment="1">
      <alignment horizontal="center"/>
    </xf>
    <xf numFmtId="0" fontId="23" fillId="34" borderId="18" xfId="0" applyFont="1" applyFill="1" applyBorder="1" applyAlignment="1">
      <alignment horizontal="center"/>
    </xf>
    <xf numFmtId="0" fontId="23" fillId="34" borderId="0" xfId="0" applyFont="1" applyFill="1" applyBorder="1" applyAlignment="1">
      <alignment horizontal="center"/>
    </xf>
    <xf numFmtId="0" fontId="23" fillId="34" borderId="19" xfId="0" applyFont="1" applyFill="1" applyBorder="1" applyAlignment="1">
      <alignment horizontal="center"/>
    </xf>
    <xf numFmtId="0" fontId="18" fillId="34" borderId="0" xfId="0" applyFont="1" applyFill="1"/>
    <xf numFmtId="0" fontId="23" fillId="34" borderId="20" xfId="0" applyFont="1" applyFill="1" applyBorder="1" applyAlignment="1">
      <alignment horizontal="center"/>
    </xf>
    <xf numFmtId="0" fontId="23" fillId="34" borderId="23" xfId="0" applyFont="1" applyFill="1" applyBorder="1" applyAlignment="1">
      <alignment horizontal="center"/>
    </xf>
    <xf numFmtId="0" fontId="23" fillId="34" borderId="21" xfId="0" applyFont="1" applyFill="1" applyBorder="1" applyAlignment="1">
      <alignment horizontal="center"/>
    </xf>
    <xf numFmtId="0" fontId="16" fillId="34" borderId="13" xfId="0" applyFont="1" applyFill="1" applyBorder="1" applyAlignment="1">
      <alignment horizontal="center"/>
    </xf>
    <xf numFmtId="0" fontId="0" fillId="34" borderId="12" xfId="0" applyFill="1" applyBorder="1" applyAlignment="1">
      <alignment horizontal="center"/>
    </xf>
    <xf numFmtId="0" fontId="0" fillId="34" borderId="0" xfId="0" applyFill="1" applyBorder="1" applyAlignment="1">
      <alignment horizontal="center"/>
    </xf>
    <xf numFmtId="0" fontId="16" fillId="34" borderId="0" xfId="0" applyFont="1" applyFill="1" applyAlignment="1">
      <alignment horizontal="center"/>
    </xf>
    <xf numFmtId="0" fontId="0" fillId="34" borderId="10" xfId="0" applyFill="1" applyBorder="1" applyAlignment="1">
      <alignment horizontal="center"/>
    </xf>
    <xf numFmtId="49" fontId="16" fillId="34" borderId="24" xfId="0" applyNumberFormat="1" applyFont="1" applyFill="1" applyBorder="1" applyAlignment="1">
      <alignment horizontal="center"/>
    </xf>
    <xf numFmtId="0" fontId="0" fillId="34" borderId="0" xfId="0" applyNumberFormat="1" applyFill="1" applyBorder="1" applyAlignment="1">
      <alignment horizontal="center"/>
    </xf>
    <xf numFmtId="0" fontId="25" fillId="34" borderId="10" xfId="0" applyFont="1" applyFill="1" applyBorder="1" applyAlignment="1">
      <alignment horizontal="center"/>
    </xf>
    <xf numFmtId="0" fontId="16" fillId="34" borderId="10" xfId="0" applyFont="1" applyFill="1" applyBorder="1"/>
    <xf numFmtId="0" fontId="26" fillId="34" borderId="0" xfId="0" applyFont="1" applyFill="1"/>
    <xf numFmtId="0" fontId="0" fillId="34" borderId="15" xfId="0" applyFill="1" applyBorder="1"/>
    <xf numFmtId="49" fontId="16" fillId="34" borderId="10" xfId="0" applyNumberFormat="1" applyFont="1" applyFill="1" applyBorder="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46">
    <dxf>
      <fill>
        <patternFill>
          <bgColor theme="4" tint="0.79998168889431442"/>
        </patternFill>
      </fill>
    </dxf>
    <dxf>
      <fill>
        <patternFill>
          <bgColor rgb="FFFF0000"/>
        </patternFill>
      </fill>
    </dxf>
    <dxf>
      <fill>
        <patternFill>
          <bgColor theme="4" tint="0.79998168889431442"/>
        </patternFill>
      </fill>
    </dxf>
    <dxf>
      <fill>
        <patternFill>
          <bgColor theme="9"/>
        </patternFill>
      </fill>
    </dxf>
    <dxf>
      <fill>
        <patternFill>
          <bgColor theme="6" tint="0.39994506668294322"/>
        </patternFill>
      </fill>
    </dxf>
    <dxf>
      <font>
        <b/>
        <i val="0"/>
        <color theme="0"/>
      </font>
      <fill>
        <patternFill>
          <bgColor rgb="FF00B0F0"/>
        </patternFill>
      </fill>
    </dxf>
    <dxf>
      <font>
        <b/>
        <i val="0"/>
        <color theme="0"/>
      </font>
      <fill>
        <patternFill>
          <bgColor theme="9" tint="0.39994506668294322"/>
        </patternFill>
      </fill>
    </dxf>
    <dxf>
      <font>
        <b/>
        <i val="0"/>
        <color theme="0"/>
      </font>
      <fill>
        <patternFill>
          <bgColor rgb="FFFF0000"/>
        </patternFill>
      </fill>
    </dxf>
    <dxf>
      <font>
        <b/>
        <i val="0"/>
        <color theme="0"/>
      </font>
      <fill>
        <patternFill>
          <bgColor rgb="FFC00000"/>
        </patternFill>
      </fill>
    </dxf>
    <dxf>
      <font>
        <b/>
        <i val="0"/>
        <color theme="0"/>
      </font>
      <fill>
        <patternFill>
          <bgColor rgb="FF00B0F0"/>
        </patternFill>
      </fill>
    </dxf>
    <dxf>
      <font>
        <b/>
        <i val="0"/>
        <color theme="0"/>
      </font>
      <fill>
        <patternFill>
          <bgColor theme="9" tint="0.39994506668294322"/>
        </patternFill>
      </fill>
    </dxf>
    <dxf>
      <font>
        <b/>
        <i val="0"/>
        <color theme="0"/>
      </font>
      <fill>
        <patternFill>
          <bgColor rgb="FFFF0000"/>
        </patternFill>
      </fill>
    </dxf>
    <dxf>
      <font>
        <b/>
        <i val="0"/>
        <color theme="0"/>
      </font>
      <fill>
        <patternFill>
          <bgColor rgb="FFC00000"/>
        </patternFill>
      </fill>
    </dxf>
    <dxf>
      <font>
        <b/>
        <i val="0"/>
        <color theme="0"/>
      </font>
      <fill>
        <patternFill>
          <bgColor rgb="FF00B0F0"/>
        </patternFill>
      </fill>
    </dxf>
    <dxf>
      <font>
        <b/>
        <i val="0"/>
        <color theme="0"/>
      </font>
      <fill>
        <patternFill>
          <bgColor theme="9" tint="0.39994506668294322"/>
        </patternFill>
      </fill>
    </dxf>
    <dxf>
      <font>
        <b/>
        <i val="0"/>
        <color theme="0"/>
      </font>
      <fill>
        <patternFill>
          <bgColor rgb="FFFF0000"/>
        </patternFill>
      </fill>
    </dxf>
    <dxf>
      <font>
        <b/>
        <i val="0"/>
        <color theme="0"/>
      </font>
      <fill>
        <patternFill>
          <bgColor rgb="FFC00000"/>
        </patternFill>
      </fill>
    </dxf>
    <dxf>
      <font>
        <b/>
        <i val="0"/>
        <color theme="0"/>
      </font>
      <fill>
        <patternFill>
          <bgColor rgb="FF00B0F0"/>
        </patternFill>
      </fill>
    </dxf>
    <dxf>
      <font>
        <b/>
        <i val="0"/>
        <color theme="0"/>
      </font>
      <fill>
        <patternFill>
          <bgColor theme="9" tint="0.39994506668294322"/>
        </patternFill>
      </fill>
    </dxf>
    <dxf>
      <font>
        <b/>
        <i val="0"/>
        <color theme="0"/>
      </font>
      <fill>
        <patternFill>
          <bgColor rgb="FFFF0000"/>
        </patternFill>
      </fill>
    </dxf>
    <dxf>
      <font>
        <b/>
        <i val="0"/>
        <color theme="0"/>
      </font>
      <fill>
        <patternFill>
          <bgColor rgb="FFC00000"/>
        </patternFill>
      </fill>
    </dxf>
    <dxf>
      <font>
        <b/>
        <i val="0"/>
        <color theme="0"/>
      </font>
      <fill>
        <patternFill>
          <bgColor rgb="FF00B0F0"/>
        </patternFill>
      </fill>
    </dxf>
    <dxf>
      <font>
        <b/>
        <i val="0"/>
        <color theme="0"/>
      </font>
      <fill>
        <patternFill>
          <bgColor theme="9" tint="0.39994506668294322"/>
        </patternFill>
      </fill>
    </dxf>
    <dxf>
      <font>
        <b/>
        <i val="0"/>
        <color theme="0"/>
      </font>
      <fill>
        <patternFill>
          <bgColor rgb="FFFF0000"/>
        </patternFill>
      </fill>
    </dxf>
    <dxf>
      <font>
        <b/>
        <i val="0"/>
        <color theme="0"/>
      </font>
      <fill>
        <patternFill>
          <bgColor rgb="FFC00000"/>
        </patternFill>
      </fill>
    </dxf>
    <dxf>
      <font>
        <b/>
        <i val="0"/>
        <color theme="0"/>
      </font>
      <fill>
        <patternFill>
          <bgColor rgb="FF00B0F0"/>
        </patternFill>
      </fill>
    </dxf>
    <dxf>
      <font>
        <b/>
        <i val="0"/>
        <color theme="0"/>
      </font>
      <fill>
        <patternFill>
          <bgColor theme="9" tint="0.39994506668294322"/>
        </patternFill>
      </fill>
    </dxf>
    <dxf>
      <font>
        <b/>
        <i val="0"/>
        <color theme="0"/>
      </font>
      <fill>
        <patternFill>
          <bgColor rgb="FFFF0000"/>
        </patternFill>
      </fill>
    </dxf>
    <dxf>
      <font>
        <b/>
        <i val="0"/>
        <color theme="0"/>
      </font>
      <fill>
        <patternFill>
          <bgColor rgb="FFC00000"/>
        </patternFill>
      </fill>
    </dxf>
    <dxf>
      <font>
        <b/>
        <i val="0"/>
        <color theme="0"/>
      </font>
      <fill>
        <patternFill>
          <bgColor rgb="FF00B0F0"/>
        </patternFill>
      </fill>
    </dxf>
    <dxf>
      <font>
        <b/>
        <i val="0"/>
        <color theme="0"/>
      </font>
      <fill>
        <patternFill>
          <bgColor theme="9" tint="0.39994506668294322"/>
        </patternFill>
      </fill>
    </dxf>
    <dxf>
      <font>
        <b/>
        <i val="0"/>
        <color theme="0"/>
      </font>
      <fill>
        <patternFill>
          <bgColor rgb="FFFF0000"/>
        </patternFill>
      </fill>
    </dxf>
    <dxf>
      <font>
        <b/>
        <i val="0"/>
        <strike val="0"/>
        <color theme="0"/>
      </font>
      <fill>
        <patternFill>
          <bgColor rgb="FFC00000"/>
        </patternFill>
      </fill>
    </dxf>
    <dxf>
      <fill>
        <patternFill>
          <bgColor rgb="FFFFFF00"/>
        </patternFill>
      </fill>
    </dxf>
    <dxf>
      <fill>
        <patternFill>
          <bgColor rgb="FFFFFF00"/>
        </patternFill>
      </fill>
    </dxf>
    <dxf>
      <font>
        <b val="0"/>
        <i val="0"/>
        <color theme="0"/>
      </font>
      <fill>
        <patternFill>
          <bgColor theme="9"/>
        </patternFill>
      </fill>
    </dxf>
    <dxf>
      <fill>
        <patternFill>
          <bgColor theme="9" tint="0.79998168889431442"/>
        </patternFill>
      </fill>
    </dxf>
    <dxf>
      <fill>
        <patternFill>
          <bgColor theme="3" tint="0.89996032593768116"/>
        </patternFill>
      </fill>
    </dxf>
    <dxf>
      <font>
        <b val="0"/>
        <i val="0"/>
        <color theme="0"/>
      </font>
      <fill>
        <patternFill>
          <bgColor theme="9"/>
        </patternFill>
      </fill>
    </dxf>
    <dxf>
      <fill>
        <patternFill>
          <bgColor theme="9" tint="0.79998168889431442"/>
        </patternFill>
      </fill>
    </dxf>
    <dxf>
      <fill>
        <patternFill>
          <bgColor theme="3" tint="0.89996032593768116"/>
        </patternFill>
      </fill>
    </dxf>
    <dxf>
      <font>
        <b/>
        <i val="0"/>
        <strike val="0"/>
        <condense val="0"/>
        <extend val="0"/>
        <outline val="0"/>
        <shadow val="0"/>
        <u val="none"/>
        <vertAlign val="baseline"/>
        <sz val="11"/>
        <color theme="1"/>
        <name val="Aptos Narrow"/>
        <family val="2"/>
        <scheme val="minor"/>
      </font>
      <border diagonalUp="0" diagonalDown="0" outline="0">
        <left style="thin">
          <color indexed="64"/>
        </left>
        <right style="thin">
          <color indexed="64"/>
        </right>
        <top/>
        <bottom/>
      </border>
    </dxf>
    <dxf>
      <border outline="0">
        <bottom style="thin">
          <color indexed="64"/>
        </bottom>
      </border>
    </dxf>
    <dxf>
      <border outline="0">
        <top style="thin">
          <color indexed="64"/>
        </top>
      </border>
    </dxf>
    <dxf>
      <font>
        <b/>
        <color theme="1"/>
      </font>
      <border>
        <bottom style="thin">
          <color theme="0" tint="-0.34998626667073579"/>
        </bottom>
        <vertical/>
        <horizontal/>
      </border>
    </dxf>
    <dxf>
      <font>
        <color theme="1"/>
      </font>
      <fill>
        <patternFill>
          <bgColor theme="3" tint="0.89996032593768116"/>
        </patternFill>
      </fill>
      <border diagonalUp="0" diagonalDown="0">
        <left/>
        <right/>
        <top/>
        <bottom/>
        <vertical/>
        <horizontal/>
      </border>
    </dxf>
  </dxfs>
  <tableStyles count="1" defaultTableStyle="TableStyleMedium2" defaultPivotStyle="PivotStyleLight16">
    <tableStyle name="SlicerStyleOther1 2" pivot="0" table="0" count="10" xr9:uid="{CDAFEEE9-02E8-445E-A4F9-24DD96964853}">
      <tableStyleElement type="wholeTable" dxfId="45"/>
      <tableStyleElement type="headerRow" dxfId="44"/>
    </tableStyle>
  </tableStyles>
  <colors>
    <mruColors>
      <color rgb="FF000000"/>
      <color rgb="FF2484BF"/>
      <color rgb="FF112A40"/>
      <color rgb="FF141C26"/>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0" tint="-0.249977111117893"/>
              <bgColor theme="0" tint="-0.249977111117893"/>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Other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[tallent showcase .xlsm]Pivot Table!PivotTable2</c:name>
    <c:fmtId val="5"/>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Table'!$F$3:$F$4</c:f>
              <c:strCache>
                <c:ptCount val="1"/>
                <c:pt idx="0">
                  <c:v>Diabetic</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Table'!$E$5:$E$6</c:f>
              <c:strCache>
                <c:ptCount val="2"/>
                <c:pt idx="0">
                  <c:v>Female</c:v>
                </c:pt>
                <c:pt idx="1">
                  <c:v>Male</c:v>
                </c:pt>
              </c:strCache>
            </c:strRef>
          </c:cat>
          <c:val>
            <c:numRef>
              <c:f>'Pivot Table'!$F$5:$F$6</c:f>
              <c:numCache>
                <c:formatCode>General</c:formatCode>
                <c:ptCount val="2"/>
                <c:pt idx="0">
                  <c:v>2</c:v>
                </c:pt>
                <c:pt idx="1">
                  <c:v>3</c:v>
                </c:pt>
              </c:numCache>
            </c:numRef>
          </c:val>
          <c:extLst>
            <c:ext xmlns:c16="http://schemas.microsoft.com/office/drawing/2014/chart" uri="{C3380CC4-5D6E-409C-BE32-E72D297353CC}">
              <c16:uniqueId val="{00000000-9479-4E33-A941-E3DFA52E23FC}"/>
            </c:ext>
          </c:extLst>
        </c:ser>
        <c:ser>
          <c:idx val="1"/>
          <c:order val="1"/>
          <c:tx>
            <c:strRef>
              <c:f>'Pivot Table'!$G$3:$G$4</c:f>
              <c:strCache>
                <c:ptCount val="1"/>
                <c:pt idx="0">
                  <c:v>NoneDiabetic</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Table'!$E$5:$E$6</c:f>
              <c:strCache>
                <c:ptCount val="2"/>
                <c:pt idx="0">
                  <c:v>Female</c:v>
                </c:pt>
                <c:pt idx="1">
                  <c:v>Male</c:v>
                </c:pt>
              </c:strCache>
            </c:strRef>
          </c:cat>
          <c:val>
            <c:numRef>
              <c:f>'Pivot Table'!$G$5:$G$6</c:f>
              <c:numCache>
                <c:formatCode>General</c:formatCode>
                <c:ptCount val="2"/>
                <c:pt idx="0">
                  <c:v>5</c:v>
                </c:pt>
                <c:pt idx="1">
                  <c:v>3</c:v>
                </c:pt>
              </c:numCache>
            </c:numRef>
          </c:val>
          <c:extLst>
            <c:ext xmlns:c16="http://schemas.microsoft.com/office/drawing/2014/chart" uri="{C3380CC4-5D6E-409C-BE32-E72D297353CC}">
              <c16:uniqueId val="{00000003-9479-4E33-A941-E3DFA52E23FC}"/>
            </c:ext>
          </c:extLst>
        </c:ser>
        <c:dLbls>
          <c:dLblPos val="ctr"/>
          <c:showLegendKey val="0"/>
          <c:showVal val="1"/>
          <c:showCatName val="0"/>
          <c:showSerName val="0"/>
          <c:showPercent val="0"/>
          <c:showBubbleSize val="0"/>
        </c:dLbls>
        <c:gapWidth val="150"/>
        <c:overlap val="100"/>
        <c:axId val="838445952"/>
        <c:axId val="838442592"/>
      </c:barChart>
      <c:catAx>
        <c:axId val="838445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8442592"/>
        <c:crosses val="autoZero"/>
        <c:auto val="1"/>
        <c:lblAlgn val="ctr"/>
        <c:lblOffset val="100"/>
        <c:noMultiLvlLbl val="0"/>
      </c:catAx>
      <c:valAx>
        <c:axId val="83844259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84459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[tallent showcase .xlsm]Pivot Table!PivotTable3</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219784420151364E-2"/>
          <c:y val="0.22304832713754646"/>
          <c:w val="0.65598399714598787"/>
          <c:h val="0.63371581340436534"/>
        </c:manualLayout>
      </c:layout>
      <c:barChart>
        <c:barDir val="col"/>
        <c:grouping val="clustered"/>
        <c:varyColors val="0"/>
        <c:ser>
          <c:idx val="0"/>
          <c:order val="0"/>
          <c:tx>
            <c:strRef>
              <c:f>'Pivot Table'!$J$3:$J$4</c:f>
              <c:strCache>
                <c:ptCount val="1"/>
                <c:pt idx="0">
                  <c:v>Middle-Aged</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Table'!$I$5:$I$6</c:f>
              <c:strCache>
                <c:ptCount val="2"/>
                <c:pt idx="0">
                  <c:v>Diabetic</c:v>
                </c:pt>
                <c:pt idx="1">
                  <c:v>NoneDiabetic</c:v>
                </c:pt>
              </c:strCache>
            </c:strRef>
          </c:cat>
          <c:val>
            <c:numRef>
              <c:f>'Pivot Table'!$J$5:$J$6</c:f>
              <c:numCache>
                <c:formatCode>General</c:formatCode>
                <c:ptCount val="2"/>
                <c:pt idx="0">
                  <c:v>2</c:v>
                </c:pt>
                <c:pt idx="1">
                  <c:v>1</c:v>
                </c:pt>
              </c:numCache>
            </c:numRef>
          </c:val>
          <c:extLst>
            <c:ext xmlns:c16="http://schemas.microsoft.com/office/drawing/2014/chart" uri="{C3380CC4-5D6E-409C-BE32-E72D297353CC}">
              <c16:uniqueId val="{00000000-94D2-440E-A8E1-320089ED0043}"/>
            </c:ext>
          </c:extLst>
        </c:ser>
        <c:ser>
          <c:idx val="1"/>
          <c:order val="1"/>
          <c:tx>
            <c:strRef>
              <c:f>'Pivot Table'!$K$3:$K$4</c:f>
              <c:strCache>
                <c:ptCount val="1"/>
                <c:pt idx="0">
                  <c:v>Old</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Table'!$I$5:$I$6</c:f>
              <c:strCache>
                <c:ptCount val="2"/>
                <c:pt idx="0">
                  <c:v>Diabetic</c:v>
                </c:pt>
                <c:pt idx="1">
                  <c:v>NoneDiabetic</c:v>
                </c:pt>
              </c:strCache>
            </c:strRef>
          </c:cat>
          <c:val>
            <c:numRef>
              <c:f>'Pivot Table'!$K$5:$K$6</c:f>
              <c:numCache>
                <c:formatCode>General</c:formatCode>
                <c:ptCount val="2"/>
                <c:pt idx="0">
                  <c:v>1</c:v>
                </c:pt>
              </c:numCache>
            </c:numRef>
          </c:val>
          <c:extLst>
            <c:ext xmlns:c16="http://schemas.microsoft.com/office/drawing/2014/chart" uri="{C3380CC4-5D6E-409C-BE32-E72D297353CC}">
              <c16:uniqueId val="{00000001-94D2-440E-A8E1-320089ED0043}"/>
            </c:ext>
          </c:extLst>
        </c:ser>
        <c:ser>
          <c:idx val="2"/>
          <c:order val="2"/>
          <c:tx>
            <c:strRef>
              <c:f>'Pivot Table'!$L$3:$L$4</c:f>
              <c:strCache>
                <c:ptCount val="1"/>
                <c:pt idx="0">
                  <c:v>Young</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Table'!$I$5:$I$6</c:f>
              <c:strCache>
                <c:ptCount val="2"/>
                <c:pt idx="0">
                  <c:v>Diabetic</c:v>
                </c:pt>
                <c:pt idx="1">
                  <c:v>NoneDiabetic</c:v>
                </c:pt>
              </c:strCache>
            </c:strRef>
          </c:cat>
          <c:val>
            <c:numRef>
              <c:f>'Pivot Table'!$L$5:$L$6</c:f>
              <c:numCache>
                <c:formatCode>General</c:formatCode>
                <c:ptCount val="2"/>
                <c:pt idx="0">
                  <c:v>2</c:v>
                </c:pt>
                <c:pt idx="1">
                  <c:v>7</c:v>
                </c:pt>
              </c:numCache>
            </c:numRef>
          </c:val>
          <c:extLst>
            <c:ext xmlns:c16="http://schemas.microsoft.com/office/drawing/2014/chart" uri="{C3380CC4-5D6E-409C-BE32-E72D297353CC}">
              <c16:uniqueId val="{00000015-94D2-440E-A8E1-320089ED0043}"/>
            </c:ext>
          </c:extLst>
        </c:ser>
        <c:dLbls>
          <c:dLblPos val="outEnd"/>
          <c:showLegendKey val="0"/>
          <c:showVal val="1"/>
          <c:showCatName val="0"/>
          <c:showSerName val="0"/>
          <c:showPercent val="0"/>
          <c:showBubbleSize val="0"/>
        </c:dLbls>
        <c:gapWidth val="219"/>
        <c:overlap val="-27"/>
        <c:axId val="1538257552"/>
        <c:axId val="1538267152"/>
      </c:barChart>
      <c:catAx>
        <c:axId val="15382575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8267152"/>
        <c:crosses val="autoZero"/>
        <c:auto val="1"/>
        <c:lblAlgn val="ctr"/>
        <c:lblOffset val="100"/>
        <c:noMultiLvlLbl val="0"/>
      </c:catAx>
      <c:valAx>
        <c:axId val="153826715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8257552"/>
        <c:crosses val="autoZero"/>
        <c:crossBetween val="between"/>
      </c:valAx>
      <c:spPr>
        <a:noFill/>
        <a:ln w="25400">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microsoft.com/office/2007/relationships/hdphoto" Target="../media/hdphoto2.wdp"/><Relationship Id="rId13" Type="http://schemas.openxmlformats.org/officeDocument/2006/relationships/chart" Target="../charts/chart2.xml"/><Relationship Id="rId3" Type="http://schemas.openxmlformats.org/officeDocument/2006/relationships/image" Target="../media/image3.png"/><Relationship Id="rId7" Type="http://schemas.openxmlformats.org/officeDocument/2006/relationships/image" Target="../media/image6.png"/><Relationship Id="rId12" Type="http://schemas.openxmlformats.org/officeDocument/2006/relationships/chart" Target="../charts/chart1.xml"/><Relationship Id="rId2" Type="http://schemas.openxmlformats.org/officeDocument/2006/relationships/image" Target="../media/image2.png"/><Relationship Id="rId1" Type="http://schemas.openxmlformats.org/officeDocument/2006/relationships/image" Target="../media/image1.png"/><Relationship Id="rId6" Type="http://schemas.microsoft.com/office/2007/relationships/hdphoto" Target="../media/hdphoto1.wdp"/><Relationship Id="rId11" Type="http://schemas.openxmlformats.org/officeDocument/2006/relationships/image" Target="../media/image9.png"/><Relationship Id="rId5" Type="http://schemas.openxmlformats.org/officeDocument/2006/relationships/image" Target="../media/image5.png"/><Relationship Id="rId15" Type="http://schemas.openxmlformats.org/officeDocument/2006/relationships/image" Target="../media/image11.png"/><Relationship Id="rId10" Type="http://schemas.openxmlformats.org/officeDocument/2006/relationships/image" Target="../media/image8.png"/><Relationship Id="rId4" Type="http://schemas.openxmlformats.org/officeDocument/2006/relationships/image" Target="../media/image4.png"/><Relationship Id="rId9" Type="http://schemas.openxmlformats.org/officeDocument/2006/relationships/image" Target="../media/image7.png"/><Relationship Id="rId14" Type="http://schemas.openxmlformats.org/officeDocument/2006/relationships/image" Target="../media/image10.png"/></Relationships>
</file>

<file path=xl/drawings/_rels/drawing2.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xdr:from>
      <xdr:col>1</xdr:col>
      <xdr:colOff>106680</xdr:colOff>
      <xdr:row>3</xdr:row>
      <xdr:rowOff>160020</xdr:rowOff>
    </xdr:from>
    <xdr:to>
      <xdr:col>21</xdr:col>
      <xdr:colOff>320040</xdr:colOff>
      <xdr:row>12</xdr:row>
      <xdr:rowOff>83820</xdr:rowOff>
    </xdr:to>
    <xdr:sp macro="" textlink="">
      <xdr:nvSpPr>
        <xdr:cNvPr id="3" name="Rectangle: Rounded Corners 2">
          <a:extLst>
            <a:ext uri="{FF2B5EF4-FFF2-40B4-BE49-F238E27FC236}">
              <a16:creationId xmlns:a16="http://schemas.microsoft.com/office/drawing/2014/main" id="{315DE4E1-2446-9980-DC28-52C7D6BB6C64}"/>
            </a:ext>
          </a:extLst>
        </xdr:cNvPr>
        <xdr:cNvSpPr/>
      </xdr:nvSpPr>
      <xdr:spPr>
        <a:xfrm>
          <a:off x="106680" y="579120"/>
          <a:ext cx="12405360" cy="1569720"/>
        </a:xfrm>
        <a:prstGeom prst="roundRect">
          <a:avLst>
            <a:gd name="adj" fmla="val 2537"/>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594360</xdr:colOff>
      <xdr:row>4</xdr:row>
      <xdr:rowOff>53340</xdr:rowOff>
    </xdr:from>
    <xdr:to>
      <xdr:col>13</xdr:col>
      <xdr:colOff>563880</xdr:colOff>
      <xdr:row>6</xdr:row>
      <xdr:rowOff>15240</xdr:rowOff>
    </xdr:to>
    <xdr:sp macro="" textlink="">
      <xdr:nvSpPr>
        <xdr:cNvPr id="5" name="TextBox 4">
          <a:extLst>
            <a:ext uri="{FF2B5EF4-FFF2-40B4-BE49-F238E27FC236}">
              <a16:creationId xmlns:a16="http://schemas.microsoft.com/office/drawing/2014/main" id="{54D734AE-B31E-E803-F475-AA259C0131DE}"/>
            </a:ext>
          </a:extLst>
        </xdr:cNvPr>
        <xdr:cNvSpPr txBox="1"/>
      </xdr:nvSpPr>
      <xdr:spPr>
        <a:xfrm>
          <a:off x="4861560" y="784860"/>
          <a:ext cx="3627120" cy="32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a:solidFill>
                <a:srgbClr val="00B0F0"/>
              </a:solidFill>
              <a:latin typeface="Arial Black" panose="020B0A04020102020204" pitchFamily="34" charset="0"/>
            </a:rPr>
            <a:t>REQUIRED</a:t>
          </a:r>
          <a:r>
            <a:rPr lang="en-US" sz="1050" baseline="0">
              <a:solidFill>
                <a:srgbClr val="00B0F0"/>
              </a:solidFill>
              <a:latin typeface="Arial Black" panose="020B0A04020102020204" pitchFamily="34" charset="0"/>
            </a:rPr>
            <a:t> </a:t>
          </a:r>
          <a:r>
            <a:rPr lang="en-US" sz="1050">
              <a:solidFill>
                <a:srgbClr val="00B0F0"/>
              </a:solidFill>
              <a:latin typeface="Arial Black" panose="020B0A04020102020204" pitchFamily="34" charset="0"/>
            </a:rPr>
            <a:t>TESTS AND RANGES</a:t>
          </a:r>
        </a:p>
      </xdr:txBody>
    </xdr:sp>
    <xdr:clientData/>
  </xdr:twoCellAnchor>
  <xdr:twoCellAnchor>
    <xdr:from>
      <xdr:col>3</xdr:col>
      <xdr:colOff>45720</xdr:colOff>
      <xdr:row>5</xdr:row>
      <xdr:rowOff>175260</xdr:rowOff>
    </xdr:from>
    <xdr:to>
      <xdr:col>5</xdr:col>
      <xdr:colOff>342900</xdr:colOff>
      <xdr:row>11</xdr:row>
      <xdr:rowOff>7620</xdr:rowOff>
    </xdr:to>
    <xdr:grpSp>
      <xdr:nvGrpSpPr>
        <xdr:cNvPr id="106" name="Group 105">
          <a:extLst>
            <a:ext uri="{FF2B5EF4-FFF2-40B4-BE49-F238E27FC236}">
              <a16:creationId xmlns:a16="http://schemas.microsoft.com/office/drawing/2014/main" id="{569AFCBF-6F7D-6E0C-4F9D-510D69954287}"/>
            </a:ext>
          </a:extLst>
        </xdr:cNvPr>
        <xdr:cNvGrpSpPr/>
      </xdr:nvGrpSpPr>
      <xdr:grpSpPr>
        <a:xfrm>
          <a:off x="1264920" y="960120"/>
          <a:ext cx="1516380" cy="929640"/>
          <a:chOff x="655320" y="1089660"/>
          <a:chExt cx="1516380" cy="929640"/>
        </a:xfrm>
      </xdr:grpSpPr>
      <xdr:sp macro="" textlink="">
        <xdr:nvSpPr>
          <xdr:cNvPr id="4" name="Rectangle 3">
            <a:extLst>
              <a:ext uri="{FF2B5EF4-FFF2-40B4-BE49-F238E27FC236}">
                <a16:creationId xmlns:a16="http://schemas.microsoft.com/office/drawing/2014/main" id="{7C49E8CE-749B-0BDD-D771-F331EF8C31E9}"/>
              </a:ext>
            </a:extLst>
          </xdr:cNvPr>
          <xdr:cNvSpPr/>
        </xdr:nvSpPr>
        <xdr:spPr>
          <a:xfrm>
            <a:off x="655320" y="1112520"/>
            <a:ext cx="1455420" cy="906780"/>
          </a:xfrm>
          <a:prstGeom prst="rect">
            <a:avLst/>
          </a:prstGeom>
          <a:solidFill>
            <a:schemeClr val="accent4">
              <a:lumMod val="20000"/>
              <a:lumOff val="80000"/>
              <a:alpha val="44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TextBox 5">
            <a:extLst>
              <a:ext uri="{FF2B5EF4-FFF2-40B4-BE49-F238E27FC236}">
                <a16:creationId xmlns:a16="http://schemas.microsoft.com/office/drawing/2014/main" id="{62988815-7859-4683-89A9-40B9D42605CD}"/>
              </a:ext>
            </a:extLst>
          </xdr:cNvPr>
          <xdr:cNvSpPr txBox="1"/>
        </xdr:nvSpPr>
        <xdr:spPr>
          <a:xfrm>
            <a:off x="830580" y="1089660"/>
            <a:ext cx="1203960" cy="32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900" b="1" i="0" u="none" strike="noStrike">
                <a:solidFill>
                  <a:schemeClr val="dk1"/>
                </a:solidFill>
                <a:effectLst/>
                <a:latin typeface="Arial Black" panose="020B0A04020102020204" pitchFamily="34" charset="0"/>
                <a:ea typeface="+mn-ea"/>
                <a:cs typeface="+mn-cs"/>
              </a:rPr>
              <a:t>Glucose (mg/dL) </a:t>
            </a:r>
          </a:p>
        </xdr:txBody>
      </xdr:sp>
      <xdr:sp macro="" textlink="">
        <xdr:nvSpPr>
          <xdr:cNvPr id="7" name="TextBox 6">
            <a:extLst>
              <a:ext uri="{FF2B5EF4-FFF2-40B4-BE49-F238E27FC236}">
                <a16:creationId xmlns:a16="http://schemas.microsoft.com/office/drawing/2014/main" id="{171E7236-2B63-2D4E-52BA-B7CB88149E67}"/>
              </a:ext>
            </a:extLst>
          </xdr:cNvPr>
          <xdr:cNvSpPr txBox="1"/>
        </xdr:nvSpPr>
        <xdr:spPr>
          <a:xfrm>
            <a:off x="1242060" y="1371600"/>
            <a:ext cx="6858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70 – 99</a:t>
            </a:r>
            <a:r>
              <a:rPr lang="en-US" b="1"/>
              <a:t> </a:t>
            </a:r>
            <a:endParaRPr lang="en-US" sz="1100" b="1"/>
          </a:p>
        </xdr:txBody>
      </xdr:sp>
      <xdr:sp macro="" textlink="">
        <xdr:nvSpPr>
          <xdr:cNvPr id="8" name="TextBox 7">
            <a:extLst>
              <a:ext uri="{FF2B5EF4-FFF2-40B4-BE49-F238E27FC236}">
                <a16:creationId xmlns:a16="http://schemas.microsoft.com/office/drawing/2014/main" id="{9CDCDA64-067D-B9F6-126D-38AB4A4E7D25}"/>
              </a:ext>
            </a:extLst>
          </xdr:cNvPr>
          <xdr:cNvSpPr txBox="1"/>
        </xdr:nvSpPr>
        <xdr:spPr>
          <a:xfrm>
            <a:off x="1234440" y="1592580"/>
            <a:ext cx="93726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&lt; 70 or ≥ 100</a:t>
            </a:r>
            <a:r>
              <a:rPr lang="en-US" b="1"/>
              <a:t> </a:t>
            </a:r>
            <a:endParaRPr lang="en-US" sz="1100" b="1"/>
          </a:p>
        </xdr:txBody>
      </xdr:sp>
      <xdr:sp macro="" textlink="">
        <xdr:nvSpPr>
          <xdr:cNvPr id="37" name="Oval 36">
            <a:extLst>
              <a:ext uri="{FF2B5EF4-FFF2-40B4-BE49-F238E27FC236}">
                <a16:creationId xmlns:a16="http://schemas.microsoft.com/office/drawing/2014/main" id="{4C5070BC-A60F-E166-CE30-C0EE391F01D9}"/>
              </a:ext>
            </a:extLst>
          </xdr:cNvPr>
          <xdr:cNvSpPr/>
        </xdr:nvSpPr>
        <xdr:spPr>
          <a:xfrm>
            <a:off x="701040" y="1363980"/>
            <a:ext cx="487680" cy="487680"/>
          </a:xfrm>
          <a:prstGeom prst="ellipse">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35" name="Picture 34">
            <a:extLst>
              <a:ext uri="{FF2B5EF4-FFF2-40B4-BE49-F238E27FC236}">
                <a16:creationId xmlns:a16="http://schemas.microsoft.com/office/drawing/2014/main" id="{DEEB3C61-68EE-41E3-49B1-91725FF9719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9619" y="1433023"/>
            <a:ext cx="327661" cy="327661"/>
          </a:xfrm>
          <a:prstGeom prst="rect">
            <a:avLst/>
          </a:prstGeom>
        </xdr:spPr>
      </xdr:pic>
    </xdr:grpSp>
    <xdr:clientData/>
  </xdr:twoCellAnchor>
  <xdr:twoCellAnchor>
    <xdr:from>
      <xdr:col>13</xdr:col>
      <xdr:colOff>226060</xdr:colOff>
      <xdr:row>5</xdr:row>
      <xdr:rowOff>175260</xdr:rowOff>
    </xdr:from>
    <xdr:to>
      <xdr:col>15</xdr:col>
      <xdr:colOff>515620</xdr:colOff>
      <xdr:row>11</xdr:row>
      <xdr:rowOff>22860</xdr:rowOff>
    </xdr:to>
    <xdr:grpSp>
      <xdr:nvGrpSpPr>
        <xdr:cNvPr id="110" name="Group 109">
          <a:extLst>
            <a:ext uri="{FF2B5EF4-FFF2-40B4-BE49-F238E27FC236}">
              <a16:creationId xmlns:a16="http://schemas.microsoft.com/office/drawing/2014/main" id="{15F582A8-F09C-1D20-7D23-4642556AC6E7}"/>
            </a:ext>
          </a:extLst>
        </xdr:cNvPr>
        <xdr:cNvGrpSpPr/>
      </xdr:nvGrpSpPr>
      <xdr:grpSpPr>
        <a:xfrm>
          <a:off x="7541260" y="960120"/>
          <a:ext cx="1508760" cy="944880"/>
          <a:chOff x="6850380" y="1150620"/>
          <a:chExt cx="1508760" cy="944880"/>
        </a:xfrm>
      </xdr:grpSpPr>
      <xdr:sp macro="" textlink="">
        <xdr:nvSpPr>
          <xdr:cNvPr id="81" name="Rectangle 80">
            <a:extLst>
              <a:ext uri="{FF2B5EF4-FFF2-40B4-BE49-F238E27FC236}">
                <a16:creationId xmlns:a16="http://schemas.microsoft.com/office/drawing/2014/main" id="{24BC324C-3DFA-D7D8-B982-8FE326DF64B8}"/>
              </a:ext>
            </a:extLst>
          </xdr:cNvPr>
          <xdr:cNvSpPr/>
        </xdr:nvSpPr>
        <xdr:spPr>
          <a:xfrm>
            <a:off x="6850380" y="1188720"/>
            <a:ext cx="1455420" cy="906780"/>
          </a:xfrm>
          <a:prstGeom prst="rect">
            <a:avLst/>
          </a:prstGeom>
          <a:solidFill>
            <a:schemeClr val="accent4">
              <a:lumMod val="20000"/>
              <a:lumOff val="80000"/>
              <a:alpha val="44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2" name="TextBox 81">
            <a:extLst>
              <a:ext uri="{FF2B5EF4-FFF2-40B4-BE49-F238E27FC236}">
                <a16:creationId xmlns:a16="http://schemas.microsoft.com/office/drawing/2014/main" id="{A438358F-BA18-8E7B-6BC5-7A89F879699B}"/>
              </a:ext>
            </a:extLst>
          </xdr:cNvPr>
          <xdr:cNvSpPr txBox="1"/>
        </xdr:nvSpPr>
        <xdr:spPr>
          <a:xfrm>
            <a:off x="6880860" y="1150620"/>
            <a:ext cx="1478280" cy="32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900" b="1" i="0" u="none" strike="noStrike">
                <a:solidFill>
                  <a:schemeClr val="dk1"/>
                </a:solidFill>
                <a:effectLst/>
                <a:latin typeface="Arial Black" panose="020B0A04020102020204" pitchFamily="34" charset="0"/>
                <a:ea typeface="+mn-ea"/>
                <a:cs typeface="+mn-cs"/>
              </a:rPr>
              <a:t>Insulin (</a:t>
            </a:r>
            <a:r>
              <a:rPr lang="el-GR" sz="900" b="1" i="0" u="none" strike="noStrike">
                <a:solidFill>
                  <a:schemeClr val="dk1"/>
                </a:solidFill>
                <a:effectLst/>
                <a:latin typeface="Arial Black" panose="020B0A04020102020204" pitchFamily="34" charset="0"/>
                <a:ea typeface="+mn-ea"/>
                <a:cs typeface="+mn-cs"/>
              </a:rPr>
              <a:t>μ</a:t>
            </a:r>
            <a:r>
              <a:rPr lang="en-US" sz="900" b="1" i="0" u="none" strike="noStrike">
                <a:solidFill>
                  <a:schemeClr val="dk1"/>
                </a:solidFill>
                <a:effectLst/>
                <a:latin typeface="Arial Black" panose="020B0A04020102020204" pitchFamily="34" charset="0"/>
                <a:ea typeface="+mn-ea"/>
                <a:cs typeface="+mn-cs"/>
              </a:rPr>
              <a:t>U/mL) </a:t>
            </a:r>
          </a:p>
        </xdr:txBody>
      </xdr:sp>
      <xdr:sp macro="" textlink="">
        <xdr:nvSpPr>
          <xdr:cNvPr id="83" name="TextBox 82">
            <a:extLst>
              <a:ext uri="{FF2B5EF4-FFF2-40B4-BE49-F238E27FC236}">
                <a16:creationId xmlns:a16="http://schemas.microsoft.com/office/drawing/2014/main" id="{2A862FD4-BF33-9E0B-47CF-22F159101F61}"/>
              </a:ext>
            </a:extLst>
          </xdr:cNvPr>
          <xdr:cNvSpPr txBox="1"/>
        </xdr:nvSpPr>
        <xdr:spPr>
          <a:xfrm>
            <a:off x="7559040" y="1432560"/>
            <a:ext cx="6858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1" i="0" u="none" strike="noStrike">
                <a:solidFill>
                  <a:schemeClr val="dk1"/>
                </a:solidFill>
                <a:effectLst/>
                <a:latin typeface="+mn-lt"/>
                <a:ea typeface="+mn-ea"/>
                <a:cs typeface="+mn-cs"/>
              </a:rPr>
              <a:t>2 – 25 </a:t>
            </a:r>
          </a:p>
        </xdr:txBody>
      </xdr:sp>
      <xdr:sp macro="" textlink="">
        <xdr:nvSpPr>
          <xdr:cNvPr id="84" name="TextBox 83">
            <a:extLst>
              <a:ext uri="{FF2B5EF4-FFF2-40B4-BE49-F238E27FC236}">
                <a16:creationId xmlns:a16="http://schemas.microsoft.com/office/drawing/2014/main" id="{8E2D8317-162E-7177-EE24-3FEFF0E3489C}"/>
              </a:ext>
            </a:extLst>
          </xdr:cNvPr>
          <xdr:cNvSpPr txBox="1"/>
        </xdr:nvSpPr>
        <xdr:spPr>
          <a:xfrm>
            <a:off x="7559040" y="1684020"/>
            <a:ext cx="7772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1" i="0" u="none" strike="noStrike">
                <a:solidFill>
                  <a:schemeClr val="dk1"/>
                </a:solidFill>
                <a:effectLst/>
                <a:latin typeface="+mn-lt"/>
                <a:ea typeface="+mn-ea"/>
                <a:cs typeface="+mn-cs"/>
              </a:rPr>
              <a:t>&lt; 2 or &gt; 25 </a:t>
            </a:r>
          </a:p>
        </xdr:txBody>
      </xdr:sp>
      <xdr:sp macro="" textlink="">
        <xdr:nvSpPr>
          <xdr:cNvPr id="85" name="Oval 84">
            <a:extLst>
              <a:ext uri="{FF2B5EF4-FFF2-40B4-BE49-F238E27FC236}">
                <a16:creationId xmlns:a16="http://schemas.microsoft.com/office/drawing/2014/main" id="{A8828343-F838-F650-8701-D7F2E7176928}"/>
              </a:ext>
            </a:extLst>
          </xdr:cNvPr>
          <xdr:cNvSpPr/>
        </xdr:nvSpPr>
        <xdr:spPr>
          <a:xfrm>
            <a:off x="6896100" y="1440180"/>
            <a:ext cx="487680" cy="487680"/>
          </a:xfrm>
          <a:prstGeom prst="ellipse">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86" name="Picture 85">
            <a:extLst>
              <a:ext uri="{FF2B5EF4-FFF2-40B4-BE49-F238E27FC236}">
                <a16:creationId xmlns:a16="http://schemas.microsoft.com/office/drawing/2014/main" id="{75FCBD52-6B46-FC35-545A-7127726FC75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64679" y="1509223"/>
            <a:ext cx="327661" cy="327661"/>
          </a:xfrm>
          <a:prstGeom prst="rect">
            <a:avLst/>
          </a:prstGeom>
        </xdr:spPr>
      </xdr:pic>
    </xdr:grpSp>
    <xdr:clientData/>
  </xdr:twoCellAnchor>
  <xdr:twoCellAnchor editAs="oneCell">
    <xdr:from>
      <xdr:col>1</xdr:col>
      <xdr:colOff>160019</xdr:colOff>
      <xdr:row>0</xdr:row>
      <xdr:rowOff>30943</xdr:rowOff>
    </xdr:from>
    <xdr:to>
      <xdr:col>2</xdr:col>
      <xdr:colOff>30016</xdr:colOff>
      <xdr:row>3</xdr:row>
      <xdr:rowOff>91440</xdr:rowOff>
    </xdr:to>
    <xdr:pic>
      <xdr:nvPicPr>
        <xdr:cNvPr id="92" name="Picture 91">
          <a:extLst>
            <a:ext uri="{FF2B5EF4-FFF2-40B4-BE49-F238E27FC236}">
              <a16:creationId xmlns:a16="http://schemas.microsoft.com/office/drawing/2014/main" id="{CEFA675B-57CF-CE2C-5F04-E363D8B2546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60019" y="30943"/>
          <a:ext cx="479597" cy="479597"/>
        </a:xfrm>
        <a:prstGeom prst="rect">
          <a:avLst/>
        </a:prstGeom>
      </xdr:spPr>
    </xdr:pic>
    <xdr:clientData/>
  </xdr:twoCellAnchor>
  <xdr:twoCellAnchor>
    <xdr:from>
      <xdr:col>10</xdr:col>
      <xdr:colOff>419100</xdr:colOff>
      <xdr:row>5</xdr:row>
      <xdr:rowOff>175260</xdr:rowOff>
    </xdr:from>
    <xdr:to>
      <xdr:col>13</xdr:col>
      <xdr:colOff>182880</xdr:colOff>
      <xdr:row>11</xdr:row>
      <xdr:rowOff>7620</xdr:rowOff>
    </xdr:to>
    <xdr:grpSp>
      <xdr:nvGrpSpPr>
        <xdr:cNvPr id="109" name="Group 108">
          <a:extLst>
            <a:ext uri="{FF2B5EF4-FFF2-40B4-BE49-F238E27FC236}">
              <a16:creationId xmlns:a16="http://schemas.microsoft.com/office/drawing/2014/main" id="{6F91EE0C-A66D-E893-BA5D-40E988405BF3}"/>
            </a:ext>
          </a:extLst>
        </xdr:cNvPr>
        <xdr:cNvGrpSpPr/>
      </xdr:nvGrpSpPr>
      <xdr:grpSpPr>
        <a:xfrm>
          <a:off x="5905500" y="960120"/>
          <a:ext cx="1592580" cy="929640"/>
          <a:chOff x="5257800" y="1150620"/>
          <a:chExt cx="1592580" cy="929640"/>
        </a:xfrm>
      </xdr:grpSpPr>
      <xdr:sp macro="" textlink="">
        <xdr:nvSpPr>
          <xdr:cNvPr id="75" name="Rectangle 74">
            <a:extLst>
              <a:ext uri="{FF2B5EF4-FFF2-40B4-BE49-F238E27FC236}">
                <a16:creationId xmlns:a16="http://schemas.microsoft.com/office/drawing/2014/main" id="{1062993F-8B67-3D86-9EE8-A1CF81E51221}"/>
              </a:ext>
            </a:extLst>
          </xdr:cNvPr>
          <xdr:cNvSpPr/>
        </xdr:nvSpPr>
        <xdr:spPr>
          <a:xfrm>
            <a:off x="5273040" y="1173480"/>
            <a:ext cx="1455420" cy="906780"/>
          </a:xfrm>
          <a:prstGeom prst="rect">
            <a:avLst/>
          </a:prstGeom>
          <a:solidFill>
            <a:schemeClr val="accent4">
              <a:lumMod val="20000"/>
              <a:lumOff val="80000"/>
              <a:alpha val="44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6" name="TextBox 75">
            <a:extLst>
              <a:ext uri="{FF2B5EF4-FFF2-40B4-BE49-F238E27FC236}">
                <a16:creationId xmlns:a16="http://schemas.microsoft.com/office/drawing/2014/main" id="{19046D7A-75BC-CD7F-343E-DE8376A69362}"/>
              </a:ext>
            </a:extLst>
          </xdr:cNvPr>
          <xdr:cNvSpPr txBox="1"/>
        </xdr:nvSpPr>
        <xdr:spPr>
          <a:xfrm>
            <a:off x="5257800" y="1150620"/>
            <a:ext cx="1592580" cy="32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900" b="1" i="0" u="none" strike="noStrike">
                <a:solidFill>
                  <a:schemeClr val="dk1"/>
                </a:solidFill>
                <a:effectLst/>
                <a:latin typeface="Arial Black" panose="020B0A04020102020204" pitchFamily="34" charset="0"/>
                <a:ea typeface="+mn-ea"/>
                <a:cs typeface="+mn-cs"/>
              </a:rPr>
              <a:t>Skin Thickness (mm) </a:t>
            </a:r>
          </a:p>
        </xdr:txBody>
      </xdr:sp>
      <xdr:sp macro="" textlink="">
        <xdr:nvSpPr>
          <xdr:cNvPr id="77" name="TextBox 76">
            <a:extLst>
              <a:ext uri="{FF2B5EF4-FFF2-40B4-BE49-F238E27FC236}">
                <a16:creationId xmlns:a16="http://schemas.microsoft.com/office/drawing/2014/main" id="{91C2B9BF-F3CD-4C4B-9CDC-D364B14A5E5F}"/>
              </a:ext>
            </a:extLst>
          </xdr:cNvPr>
          <xdr:cNvSpPr txBox="1"/>
        </xdr:nvSpPr>
        <xdr:spPr>
          <a:xfrm>
            <a:off x="5935980" y="1424940"/>
            <a:ext cx="6858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1" i="0" u="none" strike="noStrike">
                <a:solidFill>
                  <a:schemeClr val="dk1"/>
                </a:solidFill>
                <a:effectLst/>
                <a:latin typeface="+mn-lt"/>
                <a:ea typeface="+mn-ea"/>
                <a:cs typeface="+mn-cs"/>
              </a:rPr>
              <a:t>10 – 35 </a:t>
            </a:r>
          </a:p>
        </xdr:txBody>
      </xdr:sp>
      <xdr:sp macro="" textlink="">
        <xdr:nvSpPr>
          <xdr:cNvPr id="78" name="TextBox 77">
            <a:extLst>
              <a:ext uri="{FF2B5EF4-FFF2-40B4-BE49-F238E27FC236}">
                <a16:creationId xmlns:a16="http://schemas.microsoft.com/office/drawing/2014/main" id="{90D70320-10F9-C8C2-6887-57BD1919F901}"/>
              </a:ext>
            </a:extLst>
          </xdr:cNvPr>
          <xdr:cNvSpPr txBox="1"/>
        </xdr:nvSpPr>
        <xdr:spPr>
          <a:xfrm>
            <a:off x="5913120" y="1661160"/>
            <a:ext cx="84582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1" i="0" u="none" strike="noStrike">
                <a:solidFill>
                  <a:schemeClr val="dk1"/>
                </a:solidFill>
                <a:effectLst/>
                <a:latin typeface="+mn-lt"/>
                <a:ea typeface="+mn-ea"/>
                <a:cs typeface="+mn-cs"/>
              </a:rPr>
              <a:t>&lt; 10 or &gt; 35 </a:t>
            </a:r>
          </a:p>
        </xdr:txBody>
      </xdr:sp>
      <xdr:sp macro="" textlink="">
        <xdr:nvSpPr>
          <xdr:cNvPr id="79" name="Oval 78">
            <a:extLst>
              <a:ext uri="{FF2B5EF4-FFF2-40B4-BE49-F238E27FC236}">
                <a16:creationId xmlns:a16="http://schemas.microsoft.com/office/drawing/2014/main" id="{C1E1F299-7A68-F022-6A59-D37B344A2193}"/>
              </a:ext>
            </a:extLst>
          </xdr:cNvPr>
          <xdr:cNvSpPr/>
        </xdr:nvSpPr>
        <xdr:spPr>
          <a:xfrm>
            <a:off x="5318760" y="1424940"/>
            <a:ext cx="487680" cy="487680"/>
          </a:xfrm>
          <a:prstGeom prst="ellipse">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33" name="Picture 32">
            <a:extLst>
              <a:ext uri="{FF2B5EF4-FFF2-40B4-BE49-F238E27FC236}">
                <a16:creationId xmlns:a16="http://schemas.microsoft.com/office/drawing/2014/main" id="{C83B16B6-CE89-7B19-C0F9-48476C7E5108}"/>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402421" y="1485741"/>
            <a:ext cx="327819" cy="327819"/>
          </a:xfrm>
          <a:prstGeom prst="rect">
            <a:avLst/>
          </a:prstGeom>
        </xdr:spPr>
      </xdr:pic>
    </xdr:grpSp>
    <xdr:clientData/>
  </xdr:twoCellAnchor>
  <xdr:twoCellAnchor>
    <xdr:from>
      <xdr:col>15</xdr:col>
      <xdr:colOff>558800</xdr:colOff>
      <xdr:row>5</xdr:row>
      <xdr:rowOff>175260</xdr:rowOff>
    </xdr:from>
    <xdr:to>
      <xdr:col>18</xdr:col>
      <xdr:colOff>238760</xdr:colOff>
      <xdr:row>11</xdr:row>
      <xdr:rowOff>22860</xdr:rowOff>
    </xdr:to>
    <xdr:grpSp>
      <xdr:nvGrpSpPr>
        <xdr:cNvPr id="111" name="Group 110">
          <a:extLst>
            <a:ext uri="{FF2B5EF4-FFF2-40B4-BE49-F238E27FC236}">
              <a16:creationId xmlns:a16="http://schemas.microsoft.com/office/drawing/2014/main" id="{D2508A89-3FDF-A0A3-5CC3-86885B5B0934}"/>
            </a:ext>
          </a:extLst>
        </xdr:cNvPr>
        <xdr:cNvGrpSpPr/>
      </xdr:nvGrpSpPr>
      <xdr:grpSpPr>
        <a:xfrm>
          <a:off x="9093200" y="960120"/>
          <a:ext cx="1508760" cy="944880"/>
          <a:chOff x="8458200" y="1181100"/>
          <a:chExt cx="1508760" cy="944880"/>
        </a:xfrm>
      </xdr:grpSpPr>
      <xdr:sp macro="" textlink="">
        <xdr:nvSpPr>
          <xdr:cNvPr id="87" name="Rectangle 86">
            <a:extLst>
              <a:ext uri="{FF2B5EF4-FFF2-40B4-BE49-F238E27FC236}">
                <a16:creationId xmlns:a16="http://schemas.microsoft.com/office/drawing/2014/main" id="{05B28108-A85B-A5FD-3CDF-B15BC8FC27F1}"/>
              </a:ext>
            </a:extLst>
          </xdr:cNvPr>
          <xdr:cNvSpPr/>
        </xdr:nvSpPr>
        <xdr:spPr>
          <a:xfrm>
            <a:off x="8458200" y="1219200"/>
            <a:ext cx="1455420" cy="906780"/>
          </a:xfrm>
          <a:prstGeom prst="rect">
            <a:avLst/>
          </a:prstGeom>
          <a:solidFill>
            <a:schemeClr val="accent4">
              <a:lumMod val="20000"/>
              <a:lumOff val="80000"/>
              <a:alpha val="44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8" name="TextBox 87">
            <a:extLst>
              <a:ext uri="{FF2B5EF4-FFF2-40B4-BE49-F238E27FC236}">
                <a16:creationId xmlns:a16="http://schemas.microsoft.com/office/drawing/2014/main" id="{FFB88728-14A6-B082-1335-3A01F13BFDD7}"/>
              </a:ext>
            </a:extLst>
          </xdr:cNvPr>
          <xdr:cNvSpPr txBox="1"/>
        </xdr:nvSpPr>
        <xdr:spPr>
          <a:xfrm>
            <a:off x="8488680" y="1181100"/>
            <a:ext cx="1478280" cy="32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900" b="1" i="0" u="none" strike="noStrike">
                <a:solidFill>
                  <a:schemeClr val="dk1"/>
                </a:solidFill>
                <a:effectLst/>
                <a:latin typeface="Arial Black" panose="020B0A04020102020204" pitchFamily="34" charset="0"/>
                <a:ea typeface="+mn-ea"/>
                <a:cs typeface="+mn-cs"/>
              </a:rPr>
              <a:t>BMI (kg/m²) </a:t>
            </a:r>
          </a:p>
        </xdr:txBody>
      </xdr:sp>
      <xdr:sp macro="" textlink="">
        <xdr:nvSpPr>
          <xdr:cNvPr id="89" name="TextBox 88">
            <a:extLst>
              <a:ext uri="{FF2B5EF4-FFF2-40B4-BE49-F238E27FC236}">
                <a16:creationId xmlns:a16="http://schemas.microsoft.com/office/drawing/2014/main" id="{71B2CB92-E069-871F-CC92-BB456DB0B9FB}"/>
              </a:ext>
            </a:extLst>
          </xdr:cNvPr>
          <xdr:cNvSpPr txBox="1"/>
        </xdr:nvSpPr>
        <xdr:spPr>
          <a:xfrm>
            <a:off x="9067800" y="1455420"/>
            <a:ext cx="80772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1" i="0" u="none" strike="noStrike">
                <a:solidFill>
                  <a:schemeClr val="dk1"/>
                </a:solidFill>
                <a:effectLst/>
                <a:latin typeface="+mn-lt"/>
                <a:ea typeface="+mn-ea"/>
                <a:cs typeface="+mn-cs"/>
              </a:rPr>
              <a:t>18.5 – 24.9 </a:t>
            </a:r>
          </a:p>
        </xdr:txBody>
      </xdr:sp>
      <xdr:sp macro="" textlink="">
        <xdr:nvSpPr>
          <xdr:cNvPr id="90" name="TextBox 89">
            <a:extLst>
              <a:ext uri="{FF2B5EF4-FFF2-40B4-BE49-F238E27FC236}">
                <a16:creationId xmlns:a16="http://schemas.microsoft.com/office/drawing/2014/main" id="{AD402C78-3D75-C555-81CA-AD740ECD024E}"/>
              </a:ext>
            </a:extLst>
          </xdr:cNvPr>
          <xdr:cNvSpPr txBox="1"/>
        </xdr:nvSpPr>
        <xdr:spPr>
          <a:xfrm>
            <a:off x="9014460" y="1699260"/>
            <a:ext cx="93726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1" i="0" u="none" strike="noStrike">
                <a:solidFill>
                  <a:schemeClr val="dk1"/>
                </a:solidFill>
                <a:effectLst/>
                <a:latin typeface="+mn-lt"/>
                <a:ea typeface="+mn-ea"/>
                <a:cs typeface="+mn-cs"/>
              </a:rPr>
              <a:t>&lt; 18.5 or ≥ 25 </a:t>
            </a:r>
          </a:p>
        </xdr:txBody>
      </xdr:sp>
      <xdr:sp macro="" textlink="">
        <xdr:nvSpPr>
          <xdr:cNvPr id="91" name="Oval 90">
            <a:extLst>
              <a:ext uri="{FF2B5EF4-FFF2-40B4-BE49-F238E27FC236}">
                <a16:creationId xmlns:a16="http://schemas.microsoft.com/office/drawing/2014/main" id="{2568013E-1FBE-8A87-6E54-EB2FDD12EF66}"/>
              </a:ext>
            </a:extLst>
          </xdr:cNvPr>
          <xdr:cNvSpPr/>
        </xdr:nvSpPr>
        <xdr:spPr>
          <a:xfrm>
            <a:off x="8503920" y="1470660"/>
            <a:ext cx="487680" cy="487680"/>
          </a:xfrm>
          <a:prstGeom prst="ellipse">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93" name="Picture 92">
            <a:extLst>
              <a:ext uri="{FF2B5EF4-FFF2-40B4-BE49-F238E27FC236}">
                <a16:creationId xmlns:a16="http://schemas.microsoft.com/office/drawing/2014/main" id="{2EE1E8FC-D092-B84A-F1BC-9F53C6F476C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8611662" y="1516832"/>
            <a:ext cx="350068" cy="350068"/>
          </a:xfrm>
          <a:prstGeom prst="rect">
            <a:avLst/>
          </a:prstGeom>
        </xdr:spPr>
      </xdr:pic>
    </xdr:grpSp>
    <xdr:clientData/>
  </xdr:twoCellAnchor>
  <xdr:twoCellAnchor>
    <xdr:from>
      <xdr:col>5</xdr:col>
      <xdr:colOff>386080</xdr:colOff>
      <xdr:row>5</xdr:row>
      <xdr:rowOff>175260</xdr:rowOff>
    </xdr:from>
    <xdr:to>
      <xdr:col>8</xdr:col>
      <xdr:colOff>20320</xdr:colOff>
      <xdr:row>11</xdr:row>
      <xdr:rowOff>22860</xdr:rowOff>
    </xdr:to>
    <xdr:grpSp>
      <xdr:nvGrpSpPr>
        <xdr:cNvPr id="107" name="Group 106">
          <a:extLst>
            <a:ext uri="{FF2B5EF4-FFF2-40B4-BE49-F238E27FC236}">
              <a16:creationId xmlns:a16="http://schemas.microsoft.com/office/drawing/2014/main" id="{1047797C-3EB3-D59F-26AB-F9F5893B9C60}"/>
            </a:ext>
          </a:extLst>
        </xdr:cNvPr>
        <xdr:cNvGrpSpPr/>
      </xdr:nvGrpSpPr>
      <xdr:grpSpPr>
        <a:xfrm>
          <a:off x="2824480" y="960120"/>
          <a:ext cx="1463040" cy="944880"/>
          <a:chOff x="2225040" y="1104900"/>
          <a:chExt cx="1463040" cy="944880"/>
        </a:xfrm>
      </xdr:grpSpPr>
      <xdr:sp macro="" textlink="">
        <xdr:nvSpPr>
          <xdr:cNvPr id="63" name="Rectangle 62">
            <a:extLst>
              <a:ext uri="{FF2B5EF4-FFF2-40B4-BE49-F238E27FC236}">
                <a16:creationId xmlns:a16="http://schemas.microsoft.com/office/drawing/2014/main" id="{DDF12A88-045D-7D9F-F9EA-F9A519F1F37A}"/>
              </a:ext>
            </a:extLst>
          </xdr:cNvPr>
          <xdr:cNvSpPr/>
        </xdr:nvSpPr>
        <xdr:spPr>
          <a:xfrm>
            <a:off x="2232660" y="1143000"/>
            <a:ext cx="1455420" cy="906780"/>
          </a:xfrm>
          <a:prstGeom prst="rect">
            <a:avLst/>
          </a:prstGeom>
          <a:solidFill>
            <a:schemeClr val="accent4">
              <a:lumMod val="20000"/>
              <a:lumOff val="80000"/>
              <a:alpha val="44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4" name="TextBox 63">
            <a:extLst>
              <a:ext uri="{FF2B5EF4-FFF2-40B4-BE49-F238E27FC236}">
                <a16:creationId xmlns:a16="http://schemas.microsoft.com/office/drawing/2014/main" id="{A265C04A-A7A3-5CF2-5CAB-47444C001DD5}"/>
              </a:ext>
            </a:extLst>
          </xdr:cNvPr>
          <xdr:cNvSpPr txBox="1"/>
        </xdr:nvSpPr>
        <xdr:spPr>
          <a:xfrm>
            <a:off x="2263140" y="1104900"/>
            <a:ext cx="1295400" cy="32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900" b="1" i="0" u="none" strike="noStrike">
                <a:solidFill>
                  <a:schemeClr val="dk1"/>
                </a:solidFill>
                <a:effectLst/>
                <a:latin typeface="Arial Black" panose="020B0A04020102020204" pitchFamily="34" charset="0"/>
                <a:ea typeface="+mn-ea"/>
                <a:cs typeface="+mn-cs"/>
              </a:rPr>
              <a:t>Blood P (mm Hg) </a:t>
            </a:r>
          </a:p>
        </xdr:txBody>
      </xdr:sp>
      <xdr:sp macro="" textlink="">
        <xdr:nvSpPr>
          <xdr:cNvPr id="65" name="TextBox 64">
            <a:extLst>
              <a:ext uri="{FF2B5EF4-FFF2-40B4-BE49-F238E27FC236}">
                <a16:creationId xmlns:a16="http://schemas.microsoft.com/office/drawing/2014/main" id="{7F19B9B5-FF81-8A86-65B9-EDA4267C7230}"/>
              </a:ext>
            </a:extLst>
          </xdr:cNvPr>
          <xdr:cNvSpPr txBox="1"/>
        </xdr:nvSpPr>
        <xdr:spPr>
          <a:xfrm>
            <a:off x="2918460" y="1394460"/>
            <a:ext cx="6858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1" i="0" u="none" strike="noStrike">
                <a:solidFill>
                  <a:schemeClr val="dk1"/>
                </a:solidFill>
                <a:effectLst/>
                <a:latin typeface="+mn-lt"/>
                <a:ea typeface="+mn-ea"/>
                <a:cs typeface="+mn-cs"/>
              </a:rPr>
              <a:t> 90 - 120  </a:t>
            </a:r>
          </a:p>
        </xdr:txBody>
      </xdr:sp>
      <xdr:sp macro="" textlink="">
        <xdr:nvSpPr>
          <xdr:cNvPr id="66" name="TextBox 65">
            <a:extLst>
              <a:ext uri="{FF2B5EF4-FFF2-40B4-BE49-F238E27FC236}">
                <a16:creationId xmlns:a16="http://schemas.microsoft.com/office/drawing/2014/main" id="{6BC37B2E-FA68-CE54-50A1-5CD977FD0813}"/>
              </a:ext>
            </a:extLst>
          </xdr:cNvPr>
          <xdr:cNvSpPr txBox="1"/>
        </xdr:nvSpPr>
        <xdr:spPr>
          <a:xfrm>
            <a:off x="2956560" y="1623060"/>
            <a:ext cx="59436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1" i="0" u="none" strike="noStrike">
                <a:solidFill>
                  <a:schemeClr val="dk1"/>
                </a:solidFill>
                <a:effectLst/>
                <a:latin typeface="+mn-lt"/>
                <a:ea typeface="+mn-ea"/>
                <a:cs typeface="+mn-cs"/>
              </a:rPr>
              <a:t>60 - 80 </a:t>
            </a:r>
          </a:p>
        </xdr:txBody>
      </xdr:sp>
      <xdr:sp macro="" textlink="">
        <xdr:nvSpPr>
          <xdr:cNvPr id="67" name="Oval 66">
            <a:extLst>
              <a:ext uri="{FF2B5EF4-FFF2-40B4-BE49-F238E27FC236}">
                <a16:creationId xmlns:a16="http://schemas.microsoft.com/office/drawing/2014/main" id="{4E7A4ED1-E473-3D51-A7E4-4EEA476C6E6F}"/>
              </a:ext>
            </a:extLst>
          </xdr:cNvPr>
          <xdr:cNvSpPr/>
        </xdr:nvSpPr>
        <xdr:spPr>
          <a:xfrm>
            <a:off x="2278380" y="1394460"/>
            <a:ext cx="487680" cy="487680"/>
          </a:xfrm>
          <a:prstGeom prst="ellipse">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31" name="Picture 30">
            <a:extLst>
              <a:ext uri="{FF2B5EF4-FFF2-40B4-BE49-F238E27FC236}">
                <a16:creationId xmlns:a16="http://schemas.microsoft.com/office/drawing/2014/main" id="{439A0AE8-DE63-53A8-47C5-5B6326F5809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386122" y="1463492"/>
            <a:ext cx="350068" cy="350068"/>
          </a:xfrm>
          <a:prstGeom prst="rect">
            <a:avLst/>
          </a:prstGeom>
        </xdr:spPr>
      </xdr:pic>
      <xdr:sp macro="" textlink="">
        <xdr:nvSpPr>
          <xdr:cNvPr id="94" name="TextBox 93">
            <a:extLst>
              <a:ext uri="{FF2B5EF4-FFF2-40B4-BE49-F238E27FC236}">
                <a16:creationId xmlns:a16="http://schemas.microsoft.com/office/drawing/2014/main" id="{D30648CF-6A2F-84D3-36FA-843C90BC9C07}"/>
              </a:ext>
            </a:extLst>
          </xdr:cNvPr>
          <xdr:cNvSpPr txBox="1"/>
        </xdr:nvSpPr>
        <xdr:spPr>
          <a:xfrm>
            <a:off x="2225040" y="1783080"/>
            <a:ext cx="67818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systolic</a:t>
            </a:r>
            <a:r>
              <a:rPr lang="en-US" b="1"/>
              <a:t> </a:t>
            </a:r>
            <a:endParaRPr lang="en-US" sz="1100" b="1">
              <a:latin typeface="Arial Black" panose="020B0A04020102020204" pitchFamily="34" charset="0"/>
            </a:endParaRPr>
          </a:p>
        </xdr:txBody>
      </xdr:sp>
    </xdr:grpSp>
    <xdr:clientData/>
  </xdr:twoCellAnchor>
  <xdr:twoCellAnchor>
    <xdr:from>
      <xdr:col>8</xdr:col>
      <xdr:colOff>63500</xdr:colOff>
      <xdr:row>5</xdr:row>
      <xdr:rowOff>175260</xdr:rowOff>
    </xdr:from>
    <xdr:to>
      <xdr:col>10</xdr:col>
      <xdr:colOff>375920</xdr:colOff>
      <xdr:row>11</xdr:row>
      <xdr:rowOff>30480</xdr:rowOff>
    </xdr:to>
    <xdr:grpSp>
      <xdr:nvGrpSpPr>
        <xdr:cNvPr id="108" name="Group 107">
          <a:extLst>
            <a:ext uri="{FF2B5EF4-FFF2-40B4-BE49-F238E27FC236}">
              <a16:creationId xmlns:a16="http://schemas.microsoft.com/office/drawing/2014/main" id="{510F36AE-2ED1-1834-482C-87070351C47A}"/>
            </a:ext>
          </a:extLst>
        </xdr:cNvPr>
        <xdr:cNvGrpSpPr/>
      </xdr:nvGrpSpPr>
      <xdr:grpSpPr>
        <a:xfrm>
          <a:off x="4330700" y="960120"/>
          <a:ext cx="1531620" cy="952500"/>
          <a:chOff x="3756660" y="1112520"/>
          <a:chExt cx="1531620" cy="952500"/>
        </a:xfrm>
      </xdr:grpSpPr>
      <xdr:sp macro="" textlink="">
        <xdr:nvSpPr>
          <xdr:cNvPr id="69" name="Rectangle 68">
            <a:extLst>
              <a:ext uri="{FF2B5EF4-FFF2-40B4-BE49-F238E27FC236}">
                <a16:creationId xmlns:a16="http://schemas.microsoft.com/office/drawing/2014/main" id="{EC9C748F-956A-6A92-C4B0-098D6B02E2BF}"/>
              </a:ext>
            </a:extLst>
          </xdr:cNvPr>
          <xdr:cNvSpPr/>
        </xdr:nvSpPr>
        <xdr:spPr>
          <a:xfrm>
            <a:off x="3794760" y="1158240"/>
            <a:ext cx="1455420" cy="906780"/>
          </a:xfrm>
          <a:prstGeom prst="rect">
            <a:avLst/>
          </a:prstGeom>
          <a:solidFill>
            <a:schemeClr val="accent4">
              <a:lumMod val="20000"/>
              <a:lumOff val="80000"/>
              <a:alpha val="44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1" name="TextBox 70">
            <a:extLst>
              <a:ext uri="{FF2B5EF4-FFF2-40B4-BE49-F238E27FC236}">
                <a16:creationId xmlns:a16="http://schemas.microsoft.com/office/drawing/2014/main" id="{0F704044-C2E4-B938-4B3E-1186753C38D2}"/>
              </a:ext>
            </a:extLst>
          </xdr:cNvPr>
          <xdr:cNvSpPr txBox="1"/>
        </xdr:nvSpPr>
        <xdr:spPr>
          <a:xfrm>
            <a:off x="4442460" y="1386840"/>
            <a:ext cx="84582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1" i="0" u="none" strike="noStrike">
                <a:solidFill>
                  <a:schemeClr val="dk1"/>
                </a:solidFill>
                <a:effectLst/>
                <a:latin typeface="+mn-lt"/>
                <a:ea typeface="+mn-ea"/>
                <a:cs typeface="+mn-cs"/>
              </a:rPr>
              <a:t>&lt;90 - &gt;120 </a:t>
            </a:r>
          </a:p>
        </xdr:txBody>
      </xdr:sp>
      <xdr:sp macro="" textlink="">
        <xdr:nvSpPr>
          <xdr:cNvPr id="72" name="TextBox 71">
            <a:extLst>
              <a:ext uri="{FF2B5EF4-FFF2-40B4-BE49-F238E27FC236}">
                <a16:creationId xmlns:a16="http://schemas.microsoft.com/office/drawing/2014/main" id="{E1CB2894-A2A0-B1E0-C6D0-31716286258B}"/>
              </a:ext>
            </a:extLst>
          </xdr:cNvPr>
          <xdr:cNvSpPr txBox="1"/>
        </xdr:nvSpPr>
        <xdr:spPr>
          <a:xfrm>
            <a:off x="4465320" y="1630680"/>
            <a:ext cx="73914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1" i="0" u="none" strike="noStrike">
                <a:solidFill>
                  <a:schemeClr val="dk1"/>
                </a:solidFill>
                <a:effectLst/>
                <a:latin typeface="+mn-lt"/>
                <a:ea typeface="+mn-ea"/>
                <a:cs typeface="+mn-cs"/>
              </a:rPr>
              <a:t>&lt;60 - &gt;80 </a:t>
            </a:r>
          </a:p>
        </xdr:txBody>
      </xdr:sp>
      <xdr:sp macro="" textlink="">
        <xdr:nvSpPr>
          <xdr:cNvPr id="73" name="Oval 72">
            <a:extLst>
              <a:ext uri="{FF2B5EF4-FFF2-40B4-BE49-F238E27FC236}">
                <a16:creationId xmlns:a16="http://schemas.microsoft.com/office/drawing/2014/main" id="{EC0D23C1-AA6F-3FB4-B5E1-F1D5DB282150}"/>
              </a:ext>
            </a:extLst>
          </xdr:cNvPr>
          <xdr:cNvSpPr/>
        </xdr:nvSpPr>
        <xdr:spPr>
          <a:xfrm>
            <a:off x="3840480" y="1371600"/>
            <a:ext cx="487680" cy="487680"/>
          </a:xfrm>
          <a:prstGeom prst="ellipse">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74" name="Picture 73">
            <a:extLst>
              <a:ext uri="{FF2B5EF4-FFF2-40B4-BE49-F238E27FC236}">
                <a16:creationId xmlns:a16="http://schemas.microsoft.com/office/drawing/2014/main" id="{401C5475-AC19-91F0-2201-3F782BE45E2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09059" y="1455883"/>
            <a:ext cx="327661" cy="327661"/>
          </a:xfrm>
          <a:prstGeom prst="rect">
            <a:avLst/>
          </a:prstGeom>
        </xdr:spPr>
      </xdr:pic>
      <xdr:sp macro="" textlink="">
        <xdr:nvSpPr>
          <xdr:cNvPr id="95" name="TextBox 94">
            <a:extLst>
              <a:ext uri="{FF2B5EF4-FFF2-40B4-BE49-F238E27FC236}">
                <a16:creationId xmlns:a16="http://schemas.microsoft.com/office/drawing/2014/main" id="{A22F13C7-3D6E-2795-E6F3-C57B9E31242A}"/>
              </a:ext>
            </a:extLst>
          </xdr:cNvPr>
          <xdr:cNvSpPr txBox="1"/>
        </xdr:nvSpPr>
        <xdr:spPr>
          <a:xfrm>
            <a:off x="3756660" y="1805940"/>
            <a:ext cx="73914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Diastolic</a:t>
            </a:r>
            <a:r>
              <a:rPr lang="en-US"/>
              <a:t> </a:t>
            </a:r>
            <a:endParaRPr lang="en-US" sz="1100">
              <a:latin typeface="Arial Black" panose="020B0A04020102020204" pitchFamily="34" charset="0"/>
            </a:endParaRPr>
          </a:p>
        </xdr:txBody>
      </xdr:sp>
      <xdr:sp macro="" textlink="">
        <xdr:nvSpPr>
          <xdr:cNvPr id="98" name="TextBox 97">
            <a:extLst>
              <a:ext uri="{FF2B5EF4-FFF2-40B4-BE49-F238E27FC236}">
                <a16:creationId xmlns:a16="http://schemas.microsoft.com/office/drawing/2014/main" id="{0FB0CBC0-4EC6-900D-D5D6-66D93DBBF25F}"/>
              </a:ext>
            </a:extLst>
          </xdr:cNvPr>
          <xdr:cNvSpPr txBox="1"/>
        </xdr:nvSpPr>
        <xdr:spPr>
          <a:xfrm>
            <a:off x="4008120" y="1112520"/>
            <a:ext cx="1257300" cy="32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900" b="1" i="0" u="none" strike="noStrike">
                <a:solidFill>
                  <a:schemeClr val="dk1"/>
                </a:solidFill>
                <a:effectLst/>
                <a:latin typeface="Arial Black" panose="020B0A04020102020204" pitchFamily="34" charset="0"/>
                <a:ea typeface="+mn-ea"/>
                <a:cs typeface="+mn-cs"/>
              </a:rPr>
              <a:t>Blood P (mm Hg) </a:t>
            </a:r>
          </a:p>
        </xdr:txBody>
      </xdr:sp>
    </xdr:grpSp>
    <xdr:clientData/>
  </xdr:twoCellAnchor>
  <xdr:twoCellAnchor>
    <xdr:from>
      <xdr:col>18</xdr:col>
      <xdr:colOff>281940</xdr:colOff>
      <xdr:row>5</xdr:row>
      <xdr:rowOff>175260</xdr:rowOff>
    </xdr:from>
    <xdr:to>
      <xdr:col>20</xdr:col>
      <xdr:colOff>518160</xdr:colOff>
      <xdr:row>11</xdr:row>
      <xdr:rowOff>0</xdr:rowOff>
    </xdr:to>
    <xdr:grpSp>
      <xdr:nvGrpSpPr>
        <xdr:cNvPr id="112" name="Group 111">
          <a:extLst>
            <a:ext uri="{FF2B5EF4-FFF2-40B4-BE49-F238E27FC236}">
              <a16:creationId xmlns:a16="http://schemas.microsoft.com/office/drawing/2014/main" id="{C7D63F87-9406-280C-B37C-3F65130C8D33}"/>
            </a:ext>
          </a:extLst>
        </xdr:cNvPr>
        <xdr:cNvGrpSpPr/>
      </xdr:nvGrpSpPr>
      <xdr:grpSpPr>
        <a:xfrm>
          <a:off x="10645140" y="960120"/>
          <a:ext cx="1455420" cy="922020"/>
          <a:chOff x="10035540" y="1272540"/>
          <a:chExt cx="1455420" cy="922020"/>
        </a:xfrm>
      </xdr:grpSpPr>
      <xdr:sp macro="" textlink="">
        <xdr:nvSpPr>
          <xdr:cNvPr id="99" name="Rectangle 98">
            <a:extLst>
              <a:ext uri="{FF2B5EF4-FFF2-40B4-BE49-F238E27FC236}">
                <a16:creationId xmlns:a16="http://schemas.microsoft.com/office/drawing/2014/main" id="{5EFF7DC1-6E14-A8F4-E88F-57DBB28EFA9F}"/>
              </a:ext>
            </a:extLst>
          </xdr:cNvPr>
          <xdr:cNvSpPr/>
        </xdr:nvSpPr>
        <xdr:spPr>
          <a:xfrm>
            <a:off x="10035540" y="1287780"/>
            <a:ext cx="1455420" cy="906780"/>
          </a:xfrm>
          <a:prstGeom prst="rect">
            <a:avLst/>
          </a:prstGeom>
          <a:solidFill>
            <a:schemeClr val="accent4">
              <a:lumMod val="20000"/>
              <a:lumOff val="80000"/>
              <a:alpha val="44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0" name="TextBox 99">
            <a:extLst>
              <a:ext uri="{FF2B5EF4-FFF2-40B4-BE49-F238E27FC236}">
                <a16:creationId xmlns:a16="http://schemas.microsoft.com/office/drawing/2014/main" id="{6271A96A-C99F-B29B-791D-1156C2E2F1AD}"/>
              </a:ext>
            </a:extLst>
          </xdr:cNvPr>
          <xdr:cNvSpPr txBox="1"/>
        </xdr:nvSpPr>
        <xdr:spPr>
          <a:xfrm>
            <a:off x="10165080" y="1272540"/>
            <a:ext cx="1287780" cy="4876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1" i="0" u="none" strike="noStrike">
                <a:solidFill>
                  <a:schemeClr val="dk1"/>
                </a:solidFill>
                <a:effectLst/>
                <a:latin typeface="+mn-lt"/>
                <a:ea typeface="+mn-ea"/>
                <a:cs typeface="+mn-cs"/>
              </a:rPr>
              <a:t>Diabetes Pedigree</a:t>
            </a:r>
          </a:p>
          <a:p>
            <a:pPr marL="0" indent="0"/>
            <a:r>
              <a:rPr lang="en-US" sz="1100" b="1" i="0" u="none" strike="noStrike" baseline="0">
                <a:solidFill>
                  <a:schemeClr val="dk1"/>
                </a:solidFill>
                <a:effectLst/>
                <a:latin typeface="+mn-lt"/>
                <a:ea typeface="+mn-ea"/>
                <a:cs typeface="+mn-cs"/>
              </a:rPr>
              <a:t>                 </a:t>
            </a:r>
            <a:r>
              <a:rPr lang="en-US" sz="1100" b="1" i="0" u="none" strike="noStrike">
                <a:solidFill>
                  <a:schemeClr val="dk1"/>
                </a:solidFill>
                <a:effectLst/>
                <a:latin typeface="+mn-lt"/>
                <a:ea typeface="+mn-ea"/>
                <a:cs typeface="+mn-cs"/>
              </a:rPr>
              <a:t>Diabetes </a:t>
            </a:r>
            <a:endParaRPr lang="en-US" sz="900" b="1" i="0" u="none" strike="noStrike">
              <a:solidFill>
                <a:schemeClr val="dk1"/>
              </a:solidFill>
              <a:effectLst/>
              <a:latin typeface="Arial Black" panose="020B0A04020102020204" pitchFamily="34" charset="0"/>
              <a:ea typeface="+mn-ea"/>
              <a:cs typeface="+mn-cs"/>
            </a:endParaRPr>
          </a:p>
        </xdr:txBody>
      </xdr:sp>
      <xdr:sp macro="" textlink="">
        <xdr:nvSpPr>
          <xdr:cNvPr id="101" name="TextBox 100">
            <a:extLst>
              <a:ext uri="{FF2B5EF4-FFF2-40B4-BE49-F238E27FC236}">
                <a16:creationId xmlns:a16="http://schemas.microsoft.com/office/drawing/2014/main" id="{AB96F872-526D-ED6B-B153-C8F470E16803}"/>
              </a:ext>
            </a:extLst>
          </xdr:cNvPr>
          <xdr:cNvSpPr txBox="1"/>
        </xdr:nvSpPr>
        <xdr:spPr>
          <a:xfrm>
            <a:off x="10728960" y="1661160"/>
            <a:ext cx="6858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1" i="0" u="none" strike="noStrike">
                <a:solidFill>
                  <a:schemeClr val="dk1"/>
                </a:solidFill>
                <a:effectLst/>
                <a:latin typeface="+mn-lt"/>
                <a:ea typeface="+mn-ea"/>
                <a:cs typeface="+mn-cs"/>
              </a:rPr>
              <a:t>0.0 – 0.5 </a:t>
            </a:r>
          </a:p>
        </xdr:txBody>
      </xdr:sp>
      <xdr:sp macro="" textlink="">
        <xdr:nvSpPr>
          <xdr:cNvPr id="102" name="TextBox 101">
            <a:extLst>
              <a:ext uri="{FF2B5EF4-FFF2-40B4-BE49-F238E27FC236}">
                <a16:creationId xmlns:a16="http://schemas.microsoft.com/office/drawing/2014/main" id="{4C809019-48FA-B966-2DB6-38644264AB50}"/>
              </a:ext>
            </a:extLst>
          </xdr:cNvPr>
          <xdr:cNvSpPr txBox="1"/>
        </xdr:nvSpPr>
        <xdr:spPr>
          <a:xfrm>
            <a:off x="10751820" y="1813560"/>
            <a:ext cx="57912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1" i="0" u="none" strike="noStrike">
                <a:solidFill>
                  <a:schemeClr val="dk1"/>
                </a:solidFill>
                <a:effectLst/>
                <a:latin typeface="+mn-lt"/>
                <a:ea typeface="+mn-ea"/>
                <a:cs typeface="+mn-cs"/>
              </a:rPr>
              <a:t>&gt; 0.5 </a:t>
            </a:r>
          </a:p>
        </xdr:txBody>
      </xdr:sp>
      <xdr:sp macro="" textlink="">
        <xdr:nvSpPr>
          <xdr:cNvPr id="103" name="Oval 102">
            <a:extLst>
              <a:ext uri="{FF2B5EF4-FFF2-40B4-BE49-F238E27FC236}">
                <a16:creationId xmlns:a16="http://schemas.microsoft.com/office/drawing/2014/main" id="{63940698-43D2-A126-EEBA-31CE2E41D169}"/>
              </a:ext>
            </a:extLst>
          </xdr:cNvPr>
          <xdr:cNvSpPr/>
        </xdr:nvSpPr>
        <xdr:spPr>
          <a:xfrm>
            <a:off x="10081260" y="1539240"/>
            <a:ext cx="487680" cy="487680"/>
          </a:xfrm>
          <a:prstGeom prst="ellipse">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104" name="Picture 103">
            <a:extLst>
              <a:ext uri="{FF2B5EF4-FFF2-40B4-BE49-F238E27FC236}">
                <a16:creationId xmlns:a16="http://schemas.microsoft.com/office/drawing/2014/main" id="{905A581C-78F2-214A-0CF7-36E15D45592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164921" y="1600041"/>
            <a:ext cx="327819" cy="327819"/>
          </a:xfrm>
          <a:prstGeom prst="rect">
            <a:avLst/>
          </a:prstGeom>
        </xdr:spPr>
      </xdr:pic>
    </xdr:grpSp>
    <xdr:clientData/>
  </xdr:twoCellAnchor>
  <xdr:twoCellAnchor>
    <xdr:from>
      <xdr:col>1</xdr:col>
      <xdr:colOff>137160</xdr:colOff>
      <xdr:row>7</xdr:row>
      <xdr:rowOff>91440</xdr:rowOff>
    </xdr:from>
    <xdr:to>
      <xdr:col>2</xdr:col>
      <xdr:colOff>594360</xdr:colOff>
      <xdr:row>8</xdr:row>
      <xdr:rowOff>121920</xdr:rowOff>
    </xdr:to>
    <xdr:sp macro="" textlink="">
      <xdr:nvSpPr>
        <xdr:cNvPr id="105" name="Rectangle 104">
          <a:extLst>
            <a:ext uri="{FF2B5EF4-FFF2-40B4-BE49-F238E27FC236}">
              <a16:creationId xmlns:a16="http://schemas.microsoft.com/office/drawing/2014/main" id="{C86AA5C4-FAC3-4D80-8A44-33B813EC2D76}"/>
            </a:ext>
          </a:extLst>
        </xdr:cNvPr>
        <xdr:cNvSpPr/>
      </xdr:nvSpPr>
      <xdr:spPr>
        <a:xfrm>
          <a:off x="746760" y="1371600"/>
          <a:ext cx="1066800" cy="213360"/>
        </a:xfrm>
        <a:prstGeom prst="rect">
          <a:avLst/>
        </a:prstGeom>
        <a:solidFill>
          <a:schemeClr val="accent4">
            <a:lumMod val="20000"/>
            <a:lumOff val="80000"/>
            <a:alpha val="44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99060</xdr:colOff>
      <xdr:row>7</xdr:row>
      <xdr:rowOff>60960</xdr:rowOff>
    </xdr:from>
    <xdr:to>
      <xdr:col>2</xdr:col>
      <xdr:colOff>487680</xdr:colOff>
      <xdr:row>8</xdr:row>
      <xdr:rowOff>160020</xdr:rowOff>
    </xdr:to>
    <xdr:sp macro="" textlink="">
      <xdr:nvSpPr>
        <xdr:cNvPr id="114" name="TextBox 113">
          <a:extLst>
            <a:ext uri="{FF2B5EF4-FFF2-40B4-BE49-F238E27FC236}">
              <a16:creationId xmlns:a16="http://schemas.microsoft.com/office/drawing/2014/main" id="{72BC365C-5D84-EB36-7828-3EFA1C833A19}"/>
            </a:ext>
          </a:extLst>
        </xdr:cNvPr>
        <xdr:cNvSpPr txBox="1"/>
      </xdr:nvSpPr>
      <xdr:spPr>
        <a:xfrm>
          <a:off x="708660" y="1341120"/>
          <a:ext cx="99822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Normal Range</a:t>
          </a:r>
          <a:r>
            <a:rPr lang="en-US"/>
            <a:t> </a:t>
          </a:r>
          <a:endParaRPr lang="en-US" sz="1100"/>
        </a:p>
      </xdr:txBody>
    </xdr:sp>
    <xdr:clientData/>
  </xdr:twoCellAnchor>
  <xdr:twoCellAnchor>
    <xdr:from>
      <xdr:col>1</xdr:col>
      <xdr:colOff>144780</xdr:colOff>
      <xdr:row>8</xdr:row>
      <xdr:rowOff>160020</xdr:rowOff>
    </xdr:from>
    <xdr:to>
      <xdr:col>2</xdr:col>
      <xdr:colOff>586740</xdr:colOff>
      <xdr:row>10</xdr:row>
      <xdr:rowOff>15240</xdr:rowOff>
    </xdr:to>
    <xdr:sp macro="" textlink="">
      <xdr:nvSpPr>
        <xdr:cNvPr id="117" name="Rectangle 116">
          <a:extLst>
            <a:ext uri="{FF2B5EF4-FFF2-40B4-BE49-F238E27FC236}">
              <a16:creationId xmlns:a16="http://schemas.microsoft.com/office/drawing/2014/main" id="{5A5576CF-869A-A183-DF64-B28F3B9B5F40}"/>
            </a:ext>
          </a:extLst>
        </xdr:cNvPr>
        <xdr:cNvSpPr/>
      </xdr:nvSpPr>
      <xdr:spPr>
        <a:xfrm>
          <a:off x="754380" y="1623060"/>
          <a:ext cx="1051560" cy="220980"/>
        </a:xfrm>
        <a:prstGeom prst="rect">
          <a:avLst/>
        </a:prstGeom>
        <a:solidFill>
          <a:schemeClr val="accent4">
            <a:lumMod val="20000"/>
            <a:lumOff val="80000"/>
            <a:alpha val="44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121920</xdr:colOff>
      <xdr:row>8</xdr:row>
      <xdr:rowOff>114300</xdr:rowOff>
    </xdr:from>
    <xdr:to>
      <xdr:col>3</xdr:col>
      <xdr:colOff>60960</xdr:colOff>
      <xdr:row>10</xdr:row>
      <xdr:rowOff>30480</xdr:rowOff>
    </xdr:to>
    <xdr:sp macro="" textlink="">
      <xdr:nvSpPr>
        <xdr:cNvPr id="115" name="TextBox 114">
          <a:extLst>
            <a:ext uri="{FF2B5EF4-FFF2-40B4-BE49-F238E27FC236}">
              <a16:creationId xmlns:a16="http://schemas.microsoft.com/office/drawing/2014/main" id="{27644EDD-9596-F441-D443-F4637BC35F13}"/>
            </a:ext>
          </a:extLst>
        </xdr:cNvPr>
        <xdr:cNvSpPr txBox="1"/>
      </xdr:nvSpPr>
      <xdr:spPr>
        <a:xfrm>
          <a:off x="731520" y="1577340"/>
          <a:ext cx="11582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dk1"/>
              </a:solidFill>
              <a:effectLst/>
              <a:latin typeface="+mn-lt"/>
              <a:ea typeface="+mn-ea"/>
              <a:cs typeface="+mn-cs"/>
            </a:rPr>
            <a:t>Abnormal Range</a:t>
          </a:r>
          <a:r>
            <a:rPr lang="en-US"/>
            <a:t> </a:t>
          </a:r>
          <a:endParaRPr lang="en-US" sz="1100"/>
        </a:p>
      </xdr:txBody>
    </xdr:sp>
    <xdr:clientData/>
  </xdr:twoCellAnchor>
  <xdr:twoCellAnchor>
    <xdr:from>
      <xdr:col>7</xdr:col>
      <xdr:colOff>502920</xdr:colOff>
      <xdr:row>13</xdr:row>
      <xdr:rowOff>45720</xdr:rowOff>
    </xdr:from>
    <xdr:to>
      <xdr:col>14</xdr:col>
      <xdr:colOff>167640</xdr:colOff>
      <xdr:row>26</xdr:row>
      <xdr:rowOff>152400</xdr:rowOff>
    </xdr:to>
    <xdr:sp macro="" textlink="">
      <xdr:nvSpPr>
        <xdr:cNvPr id="118" name="Rectangle: Rounded Corners 117">
          <a:extLst>
            <a:ext uri="{FF2B5EF4-FFF2-40B4-BE49-F238E27FC236}">
              <a16:creationId xmlns:a16="http://schemas.microsoft.com/office/drawing/2014/main" id="{9852BBAF-C7BD-43EB-A054-138895123A4A}"/>
            </a:ext>
          </a:extLst>
        </xdr:cNvPr>
        <xdr:cNvSpPr/>
      </xdr:nvSpPr>
      <xdr:spPr>
        <a:xfrm>
          <a:off x="4160520" y="2293620"/>
          <a:ext cx="3931920" cy="2484120"/>
        </a:xfrm>
        <a:prstGeom prst="roundRect">
          <a:avLst>
            <a:gd name="adj" fmla="val 2537"/>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38100</xdr:colOff>
      <xdr:row>7</xdr:row>
      <xdr:rowOff>45720</xdr:rowOff>
    </xdr:from>
    <xdr:to>
      <xdr:col>4</xdr:col>
      <xdr:colOff>38100</xdr:colOff>
      <xdr:row>10</xdr:row>
      <xdr:rowOff>30480</xdr:rowOff>
    </xdr:to>
    <xdr:cxnSp macro="">
      <xdr:nvCxnSpPr>
        <xdr:cNvPr id="126" name="Straight Connector 125">
          <a:extLst>
            <a:ext uri="{FF2B5EF4-FFF2-40B4-BE49-F238E27FC236}">
              <a16:creationId xmlns:a16="http://schemas.microsoft.com/office/drawing/2014/main" id="{358E2AA0-B25D-7B9E-465B-9ACDD433B221}"/>
            </a:ext>
          </a:extLst>
        </xdr:cNvPr>
        <xdr:cNvCxnSpPr/>
      </xdr:nvCxnSpPr>
      <xdr:spPr>
        <a:xfrm>
          <a:off x="2476500" y="1325880"/>
          <a:ext cx="0" cy="53340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6</xdr:col>
      <xdr:colOff>502920</xdr:colOff>
      <xdr:row>7</xdr:row>
      <xdr:rowOff>45720</xdr:rowOff>
    </xdr:from>
    <xdr:to>
      <xdr:col>6</xdr:col>
      <xdr:colOff>502920</xdr:colOff>
      <xdr:row>10</xdr:row>
      <xdr:rowOff>30480</xdr:rowOff>
    </xdr:to>
    <xdr:cxnSp macro="">
      <xdr:nvCxnSpPr>
        <xdr:cNvPr id="128" name="Straight Connector 127">
          <a:extLst>
            <a:ext uri="{FF2B5EF4-FFF2-40B4-BE49-F238E27FC236}">
              <a16:creationId xmlns:a16="http://schemas.microsoft.com/office/drawing/2014/main" id="{A2326B05-8EBD-3340-0EAA-CF18874D497B}"/>
            </a:ext>
          </a:extLst>
        </xdr:cNvPr>
        <xdr:cNvCxnSpPr/>
      </xdr:nvCxnSpPr>
      <xdr:spPr>
        <a:xfrm>
          <a:off x="4160520" y="1325880"/>
          <a:ext cx="0" cy="53340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167640</xdr:colOff>
      <xdr:row>7</xdr:row>
      <xdr:rowOff>45720</xdr:rowOff>
    </xdr:from>
    <xdr:to>
      <xdr:col>9</xdr:col>
      <xdr:colOff>167640</xdr:colOff>
      <xdr:row>10</xdr:row>
      <xdr:rowOff>30480</xdr:rowOff>
    </xdr:to>
    <xdr:cxnSp macro="">
      <xdr:nvCxnSpPr>
        <xdr:cNvPr id="129" name="Straight Connector 128">
          <a:extLst>
            <a:ext uri="{FF2B5EF4-FFF2-40B4-BE49-F238E27FC236}">
              <a16:creationId xmlns:a16="http://schemas.microsoft.com/office/drawing/2014/main" id="{08A214DC-9B3B-115A-48A3-4D06FCE03FC8}"/>
            </a:ext>
          </a:extLst>
        </xdr:cNvPr>
        <xdr:cNvCxnSpPr/>
      </xdr:nvCxnSpPr>
      <xdr:spPr>
        <a:xfrm>
          <a:off x="5654040" y="1325880"/>
          <a:ext cx="0" cy="53340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11</xdr:col>
      <xdr:colOff>480060</xdr:colOff>
      <xdr:row>7</xdr:row>
      <xdr:rowOff>45720</xdr:rowOff>
    </xdr:from>
    <xdr:to>
      <xdr:col>11</xdr:col>
      <xdr:colOff>480060</xdr:colOff>
      <xdr:row>10</xdr:row>
      <xdr:rowOff>30480</xdr:rowOff>
    </xdr:to>
    <xdr:cxnSp macro="">
      <xdr:nvCxnSpPr>
        <xdr:cNvPr id="130" name="Straight Connector 129">
          <a:extLst>
            <a:ext uri="{FF2B5EF4-FFF2-40B4-BE49-F238E27FC236}">
              <a16:creationId xmlns:a16="http://schemas.microsoft.com/office/drawing/2014/main" id="{DD14387E-9B1A-A868-FB6B-739B3BDC993A}"/>
            </a:ext>
          </a:extLst>
        </xdr:cNvPr>
        <xdr:cNvCxnSpPr/>
      </xdr:nvCxnSpPr>
      <xdr:spPr>
        <a:xfrm>
          <a:off x="7185660" y="1325880"/>
          <a:ext cx="0" cy="53340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14</xdr:col>
      <xdr:colOff>266700</xdr:colOff>
      <xdr:row>7</xdr:row>
      <xdr:rowOff>45720</xdr:rowOff>
    </xdr:from>
    <xdr:to>
      <xdr:col>14</xdr:col>
      <xdr:colOff>266700</xdr:colOff>
      <xdr:row>10</xdr:row>
      <xdr:rowOff>30480</xdr:rowOff>
    </xdr:to>
    <xdr:cxnSp macro="">
      <xdr:nvCxnSpPr>
        <xdr:cNvPr id="131" name="Straight Connector 130">
          <a:extLst>
            <a:ext uri="{FF2B5EF4-FFF2-40B4-BE49-F238E27FC236}">
              <a16:creationId xmlns:a16="http://schemas.microsoft.com/office/drawing/2014/main" id="{97B4CE58-18AD-483D-0095-51E5044242E9}"/>
            </a:ext>
          </a:extLst>
        </xdr:cNvPr>
        <xdr:cNvCxnSpPr/>
      </xdr:nvCxnSpPr>
      <xdr:spPr>
        <a:xfrm>
          <a:off x="8801100" y="1325880"/>
          <a:ext cx="0" cy="53340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525780</xdr:colOff>
      <xdr:row>7</xdr:row>
      <xdr:rowOff>45720</xdr:rowOff>
    </xdr:from>
    <xdr:to>
      <xdr:col>16</xdr:col>
      <xdr:colOff>525780</xdr:colOff>
      <xdr:row>10</xdr:row>
      <xdr:rowOff>30480</xdr:rowOff>
    </xdr:to>
    <xdr:cxnSp macro="">
      <xdr:nvCxnSpPr>
        <xdr:cNvPr id="132" name="Straight Connector 131">
          <a:extLst>
            <a:ext uri="{FF2B5EF4-FFF2-40B4-BE49-F238E27FC236}">
              <a16:creationId xmlns:a16="http://schemas.microsoft.com/office/drawing/2014/main" id="{5A791737-197B-6A92-7897-AC787AA85CB2}"/>
            </a:ext>
          </a:extLst>
        </xdr:cNvPr>
        <xdr:cNvCxnSpPr/>
      </xdr:nvCxnSpPr>
      <xdr:spPr>
        <a:xfrm>
          <a:off x="10279380" y="1325880"/>
          <a:ext cx="0" cy="53340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xdr:col>
      <xdr:colOff>236220</xdr:colOff>
      <xdr:row>7</xdr:row>
      <xdr:rowOff>45720</xdr:rowOff>
    </xdr:from>
    <xdr:to>
      <xdr:col>19</xdr:col>
      <xdr:colOff>236220</xdr:colOff>
      <xdr:row>10</xdr:row>
      <xdr:rowOff>30480</xdr:rowOff>
    </xdr:to>
    <xdr:cxnSp macro="">
      <xdr:nvCxnSpPr>
        <xdr:cNvPr id="133" name="Straight Connector 132">
          <a:extLst>
            <a:ext uri="{FF2B5EF4-FFF2-40B4-BE49-F238E27FC236}">
              <a16:creationId xmlns:a16="http://schemas.microsoft.com/office/drawing/2014/main" id="{01931076-C90B-E397-1031-1567D8A230E2}"/>
            </a:ext>
          </a:extLst>
        </xdr:cNvPr>
        <xdr:cNvCxnSpPr/>
      </xdr:nvCxnSpPr>
      <xdr:spPr>
        <a:xfrm>
          <a:off x="11818620" y="1325880"/>
          <a:ext cx="0" cy="53340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571500</xdr:colOff>
      <xdr:row>13</xdr:row>
      <xdr:rowOff>68580</xdr:rowOff>
    </xdr:from>
    <xdr:to>
      <xdr:col>10</xdr:col>
      <xdr:colOff>579120</xdr:colOff>
      <xdr:row>26</xdr:row>
      <xdr:rowOff>60960</xdr:rowOff>
    </xdr:to>
    <xdr:cxnSp macro="">
      <xdr:nvCxnSpPr>
        <xdr:cNvPr id="134" name="Straight Connector 133">
          <a:extLst>
            <a:ext uri="{FF2B5EF4-FFF2-40B4-BE49-F238E27FC236}">
              <a16:creationId xmlns:a16="http://schemas.microsoft.com/office/drawing/2014/main" id="{47B8FFDA-A424-46BF-9DC3-15E066ACBBED}"/>
            </a:ext>
          </a:extLst>
        </xdr:cNvPr>
        <xdr:cNvCxnSpPr/>
      </xdr:nvCxnSpPr>
      <xdr:spPr>
        <a:xfrm>
          <a:off x="6667500" y="2446020"/>
          <a:ext cx="7620" cy="236982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editAs="oneCell">
    <xdr:from>
      <xdr:col>7</xdr:col>
      <xdr:colOff>571500</xdr:colOff>
      <xdr:row>13</xdr:row>
      <xdr:rowOff>117605</xdr:rowOff>
    </xdr:from>
    <xdr:to>
      <xdr:col>10</xdr:col>
      <xdr:colOff>487681</xdr:colOff>
      <xdr:row>22</xdr:row>
      <xdr:rowOff>7620</xdr:rowOff>
    </xdr:to>
    <xdr:pic>
      <xdr:nvPicPr>
        <xdr:cNvPr id="138" name="Picture 137">
          <a:extLst>
            <a:ext uri="{FF2B5EF4-FFF2-40B4-BE49-F238E27FC236}">
              <a16:creationId xmlns:a16="http://schemas.microsoft.com/office/drawing/2014/main" id="{50777593-43F0-CA9B-6B05-FAB25F68BD3D}"/>
            </a:ext>
          </a:extLst>
        </xdr:cNvPr>
        <xdr:cNvPicPr>
          <a:picLocks noChangeAspect="1"/>
        </xdr:cNvPicPr>
      </xdr:nvPicPr>
      <xdr:blipFill rotWithShape="1">
        <a:blip xmlns:r="http://schemas.openxmlformats.org/officeDocument/2006/relationships" r:embed="rId5" cstate="print">
          <a:extLst>
            <a:ext uri="{BEBA8EAE-BF5A-486C-A8C5-ECC9F3942E4B}">
              <a14:imgProps xmlns:a14="http://schemas.microsoft.com/office/drawing/2010/main">
                <a14:imgLayer r:embed="rId6">
                  <a14:imgEffect>
                    <a14:saturation sat="66000"/>
                  </a14:imgEffect>
                </a14:imgLayer>
              </a14:imgProps>
            </a:ext>
            <a:ext uri="{28A0092B-C50C-407E-A947-70E740481C1C}">
              <a14:useLocalDpi xmlns:a14="http://schemas.microsoft.com/office/drawing/2010/main" val="0"/>
            </a:ext>
          </a:extLst>
        </a:blip>
        <a:srcRect b="8975"/>
        <a:stretch/>
      </xdr:blipFill>
      <xdr:spPr>
        <a:xfrm>
          <a:off x="4229100" y="2365505"/>
          <a:ext cx="1744981" cy="1535935"/>
        </a:xfrm>
        <a:prstGeom prst="rect">
          <a:avLst/>
        </a:prstGeom>
      </xdr:spPr>
    </xdr:pic>
    <xdr:clientData/>
  </xdr:twoCellAnchor>
  <xdr:twoCellAnchor>
    <xdr:from>
      <xdr:col>8</xdr:col>
      <xdr:colOff>60960</xdr:colOff>
      <xdr:row>22</xdr:row>
      <xdr:rowOff>53340</xdr:rowOff>
    </xdr:from>
    <xdr:to>
      <xdr:col>10</xdr:col>
      <xdr:colOff>457200</xdr:colOff>
      <xdr:row>24</xdr:row>
      <xdr:rowOff>7620</xdr:rowOff>
    </xdr:to>
    <xdr:sp macro="" textlink="">
      <xdr:nvSpPr>
        <xdr:cNvPr id="140" name="Rectangle 139">
          <a:extLst>
            <a:ext uri="{FF2B5EF4-FFF2-40B4-BE49-F238E27FC236}">
              <a16:creationId xmlns:a16="http://schemas.microsoft.com/office/drawing/2014/main" id="{B47C5683-1656-40EF-8F2C-238A945304F1}"/>
            </a:ext>
          </a:extLst>
        </xdr:cNvPr>
        <xdr:cNvSpPr/>
      </xdr:nvSpPr>
      <xdr:spPr>
        <a:xfrm>
          <a:off x="4937760" y="4076700"/>
          <a:ext cx="1615440" cy="320040"/>
        </a:xfrm>
        <a:prstGeom prst="rect">
          <a:avLst/>
        </a:prstGeom>
        <a:solidFill>
          <a:schemeClr val="accent4">
            <a:lumMod val="20000"/>
            <a:lumOff val="80000"/>
            <a:alpha val="44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137160</xdr:colOff>
      <xdr:row>22</xdr:row>
      <xdr:rowOff>60960</xdr:rowOff>
    </xdr:from>
    <xdr:to>
      <xdr:col>10</xdr:col>
      <xdr:colOff>449580</xdr:colOff>
      <xdr:row>23</xdr:row>
      <xdr:rowOff>160020</xdr:rowOff>
    </xdr:to>
    <xdr:sp macro="" textlink="">
      <xdr:nvSpPr>
        <xdr:cNvPr id="141" name="TextBox 140">
          <a:extLst>
            <a:ext uri="{FF2B5EF4-FFF2-40B4-BE49-F238E27FC236}">
              <a16:creationId xmlns:a16="http://schemas.microsoft.com/office/drawing/2014/main" id="{4888227E-3C9D-D17F-18EF-05C576E673A2}"/>
            </a:ext>
          </a:extLst>
        </xdr:cNvPr>
        <xdr:cNvSpPr txBox="1"/>
      </xdr:nvSpPr>
      <xdr:spPr>
        <a:xfrm>
          <a:off x="5013960" y="4084320"/>
          <a:ext cx="153162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rgbClr val="00B0F0"/>
              </a:solidFill>
              <a:effectLst/>
              <a:latin typeface="Arial Black" panose="020B0A04020102020204" pitchFamily="34" charset="0"/>
              <a:ea typeface="+mn-ea"/>
              <a:cs typeface="+mn-cs"/>
            </a:rPr>
            <a:t>TOTAL DIABETIC</a:t>
          </a:r>
          <a:endParaRPr lang="en-US" sz="1100">
            <a:solidFill>
              <a:srgbClr val="00B0F0"/>
            </a:solidFill>
            <a:latin typeface="Arial Black" panose="020B0A04020102020204" pitchFamily="34" charset="0"/>
          </a:endParaRPr>
        </a:p>
      </xdr:txBody>
    </xdr:sp>
    <xdr:clientData/>
  </xdr:twoCellAnchor>
  <xdr:twoCellAnchor editAs="oneCell">
    <xdr:from>
      <xdr:col>11</xdr:col>
      <xdr:colOff>68580</xdr:colOff>
      <xdr:row>13</xdr:row>
      <xdr:rowOff>125225</xdr:rowOff>
    </xdr:from>
    <xdr:to>
      <xdr:col>14</xdr:col>
      <xdr:colOff>106679</xdr:colOff>
      <xdr:row>22</xdr:row>
      <xdr:rowOff>15240</xdr:rowOff>
    </xdr:to>
    <xdr:pic>
      <xdr:nvPicPr>
        <xdr:cNvPr id="142" name="Picture 141">
          <a:extLst>
            <a:ext uri="{FF2B5EF4-FFF2-40B4-BE49-F238E27FC236}">
              <a16:creationId xmlns:a16="http://schemas.microsoft.com/office/drawing/2014/main" id="{739BE8C7-D6C0-9E6C-6361-26DAD3B48E94}"/>
            </a:ext>
          </a:extLst>
        </xdr:cNvPr>
        <xdr:cNvPicPr>
          <a:picLocks noChangeAspect="1"/>
        </xdr:cNvPicPr>
      </xdr:nvPicPr>
      <xdr:blipFill rotWithShape="1">
        <a:blip xmlns:r="http://schemas.openxmlformats.org/officeDocument/2006/relationships" r:embed="rId7" cstate="print">
          <a:extLst>
            <a:ext uri="{BEBA8EAE-BF5A-486C-A8C5-ECC9F3942E4B}">
              <a14:imgProps xmlns:a14="http://schemas.microsoft.com/office/drawing/2010/main">
                <a14:imgLayer r:embed="rId8">
                  <a14:imgEffect>
                    <a14:saturation sat="66000"/>
                  </a14:imgEffect>
                </a14:imgLayer>
              </a14:imgProps>
            </a:ext>
            <a:ext uri="{28A0092B-C50C-407E-A947-70E740481C1C}">
              <a14:useLocalDpi xmlns:a14="http://schemas.microsoft.com/office/drawing/2010/main" val="0"/>
            </a:ext>
          </a:extLst>
        </a:blip>
        <a:srcRect b="8975"/>
        <a:stretch/>
      </xdr:blipFill>
      <xdr:spPr>
        <a:xfrm>
          <a:off x="6774180" y="2502665"/>
          <a:ext cx="1866899" cy="1535935"/>
        </a:xfrm>
        <a:prstGeom prst="rect">
          <a:avLst/>
        </a:prstGeom>
      </xdr:spPr>
    </xdr:pic>
    <xdr:clientData/>
  </xdr:twoCellAnchor>
  <xdr:twoCellAnchor>
    <xdr:from>
      <xdr:col>11</xdr:col>
      <xdr:colOff>91440</xdr:colOff>
      <xdr:row>22</xdr:row>
      <xdr:rowOff>60960</xdr:rowOff>
    </xdr:from>
    <xdr:to>
      <xdr:col>14</xdr:col>
      <xdr:colOff>106680</xdr:colOff>
      <xdr:row>24</xdr:row>
      <xdr:rowOff>15240</xdr:rowOff>
    </xdr:to>
    <xdr:sp macro="" textlink="">
      <xdr:nvSpPr>
        <xdr:cNvPr id="143" name="Rectangle 142">
          <a:extLst>
            <a:ext uri="{FF2B5EF4-FFF2-40B4-BE49-F238E27FC236}">
              <a16:creationId xmlns:a16="http://schemas.microsoft.com/office/drawing/2014/main" id="{AEA7D4DC-3F26-FB9C-BE1D-AA2C93613168}"/>
            </a:ext>
          </a:extLst>
        </xdr:cNvPr>
        <xdr:cNvSpPr/>
      </xdr:nvSpPr>
      <xdr:spPr>
        <a:xfrm>
          <a:off x="6797040" y="4084320"/>
          <a:ext cx="1844040" cy="320040"/>
        </a:xfrm>
        <a:prstGeom prst="rect">
          <a:avLst/>
        </a:prstGeom>
        <a:solidFill>
          <a:schemeClr val="accent4">
            <a:lumMod val="20000"/>
            <a:lumOff val="80000"/>
            <a:alpha val="44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83820</xdr:colOff>
      <xdr:row>22</xdr:row>
      <xdr:rowOff>53340</xdr:rowOff>
    </xdr:from>
    <xdr:to>
      <xdr:col>14</xdr:col>
      <xdr:colOff>160020</xdr:colOff>
      <xdr:row>23</xdr:row>
      <xdr:rowOff>152400</xdr:rowOff>
    </xdr:to>
    <xdr:sp macro="" textlink="">
      <xdr:nvSpPr>
        <xdr:cNvPr id="144" name="TextBox 143">
          <a:extLst>
            <a:ext uri="{FF2B5EF4-FFF2-40B4-BE49-F238E27FC236}">
              <a16:creationId xmlns:a16="http://schemas.microsoft.com/office/drawing/2014/main" id="{5885CF81-3873-5A99-81F3-FCD1F4CC1EC1}"/>
            </a:ext>
          </a:extLst>
        </xdr:cNvPr>
        <xdr:cNvSpPr txBox="1"/>
      </xdr:nvSpPr>
      <xdr:spPr>
        <a:xfrm>
          <a:off x="6789420" y="4076700"/>
          <a:ext cx="19050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1" i="0" u="none" strike="noStrike">
              <a:solidFill>
                <a:srgbClr val="00B0F0"/>
              </a:solidFill>
              <a:effectLst/>
              <a:latin typeface="Arial Black" panose="020B0A04020102020204" pitchFamily="34" charset="0"/>
              <a:ea typeface="+mn-ea"/>
              <a:cs typeface="+mn-cs"/>
            </a:rPr>
            <a:t>TOTAL NON DIABETIC</a:t>
          </a:r>
        </a:p>
      </xdr:txBody>
    </xdr:sp>
    <xdr:clientData/>
  </xdr:twoCellAnchor>
  <xdr:twoCellAnchor>
    <xdr:from>
      <xdr:col>8</xdr:col>
      <xdr:colOff>335280</xdr:colOff>
      <xdr:row>24</xdr:row>
      <xdr:rowOff>45720</xdr:rowOff>
    </xdr:from>
    <xdr:to>
      <xdr:col>10</xdr:col>
      <xdr:colOff>182880</xdr:colOff>
      <xdr:row>25</xdr:row>
      <xdr:rowOff>160020</xdr:rowOff>
    </xdr:to>
    <xdr:sp macro="" textlink="">
      <xdr:nvSpPr>
        <xdr:cNvPr id="147" name="Rectangle 146">
          <a:extLst>
            <a:ext uri="{FF2B5EF4-FFF2-40B4-BE49-F238E27FC236}">
              <a16:creationId xmlns:a16="http://schemas.microsoft.com/office/drawing/2014/main" id="{D7655BF6-EF26-4373-B19C-8A39347DCA0A}"/>
            </a:ext>
          </a:extLst>
        </xdr:cNvPr>
        <xdr:cNvSpPr/>
      </xdr:nvSpPr>
      <xdr:spPr>
        <a:xfrm>
          <a:off x="5212080" y="4434840"/>
          <a:ext cx="1066800" cy="297180"/>
        </a:xfrm>
        <a:prstGeom prst="rect">
          <a:avLst/>
        </a:prstGeom>
        <a:solidFill>
          <a:schemeClr val="accent4">
            <a:lumMod val="20000"/>
            <a:lumOff val="80000"/>
            <a:alpha val="44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175260</xdr:colOff>
      <xdr:row>24</xdr:row>
      <xdr:rowOff>0</xdr:rowOff>
    </xdr:from>
    <xdr:to>
      <xdr:col>10</xdr:col>
      <xdr:colOff>175260</xdr:colOff>
      <xdr:row>25</xdr:row>
      <xdr:rowOff>99060</xdr:rowOff>
    </xdr:to>
    <xdr:sp macro="" textlink="'Pivot Table'!C4">
      <xdr:nvSpPr>
        <xdr:cNvPr id="145" name="TextBox 144">
          <a:extLst>
            <a:ext uri="{FF2B5EF4-FFF2-40B4-BE49-F238E27FC236}">
              <a16:creationId xmlns:a16="http://schemas.microsoft.com/office/drawing/2014/main" id="{970B0CAC-E242-4B1F-BF60-97D42BE0CCB6}"/>
            </a:ext>
          </a:extLst>
        </xdr:cNvPr>
        <xdr:cNvSpPr txBox="1"/>
      </xdr:nvSpPr>
      <xdr:spPr>
        <a:xfrm>
          <a:off x="5661660" y="4389120"/>
          <a:ext cx="6096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49B8548-F387-43BB-AB78-34FE7248C4EA}" type="TxLink">
            <a:rPr lang="en-US" sz="1400" b="0" i="0" u="none" strike="noStrike">
              <a:solidFill>
                <a:schemeClr val="bg2">
                  <a:lumMod val="50000"/>
                </a:schemeClr>
              </a:solidFill>
              <a:effectLst/>
              <a:latin typeface="Arial Black" panose="020B0A04020102020204" pitchFamily="34" charset="0"/>
              <a:ea typeface="+mn-ea"/>
              <a:cs typeface="+mn-cs"/>
            </a:rPr>
            <a:t>5</a:t>
          </a:fld>
          <a:endParaRPr lang="en-US" sz="1400">
            <a:solidFill>
              <a:schemeClr val="bg2">
                <a:lumMod val="50000"/>
              </a:schemeClr>
            </a:solidFill>
            <a:latin typeface="Arial Black" panose="020B0A04020102020204" pitchFamily="34" charset="0"/>
          </a:endParaRPr>
        </a:p>
      </xdr:txBody>
    </xdr:sp>
    <xdr:clientData/>
  </xdr:twoCellAnchor>
  <xdr:twoCellAnchor>
    <xdr:from>
      <xdr:col>11</xdr:col>
      <xdr:colOff>480060</xdr:colOff>
      <xdr:row>24</xdr:row>
      <xdr:rowOff>76200</xdr:rowOff>
    </xdr:from>
    <xdr:to>
      <xdr:col>13</xdr:col>
      <xdr:colOff>327660</xdr:colOff>
      <xdr:row>26</xdr:row>
      <xdr:rowOff>7620</xdr:rowOff>
    </xdr:to>
    <xdr:sp macro="" textlink="">
      <xdr:nvSpPr>
        <xdr:cNvPr id="148" name="Rectangle 147">
          <a:extLst>
            <a:ext uri="{FF2B5EF4-FFF2-40B4-BE49-F238E27FC236}">
              <a16:creationId xmlns:a16="http://schemas.microsoft.com/office/drawing/2014/main" id="{9FB449E0-CFBC-8277-2BA2-57122C7C0A8D}"/>
            </a:ext>
          </a:extLst>
        </xdr:cNvPr>
        <xdr:cNvSpPr/>
      </xdr:nvSpPr>
      <xdr:spPr>
        <a:xfrm>
          <a:off x="7185660" y="4465320"/>
          <a:ext cx="1066800" cy="297180"/>
        </a:xfrm>
        <a:prstGeom prst="rect">
          <a:avLst/>
        </a:prstGeom>
        <a:solidFill>
          <a:schemeClr val="accent4">
            <a:lumMod val="20000"/>
            <a:lumOff val="80000"/>
            <a:alpha val="44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8</xdr:col>
      <xdr:colOff>464819</xdr:colOff>
      <xdr:row>24</xdr:row>
      <xdr:rowOff>84283</xdr:rowOff>
    </xdr:from>
    <xdr:to>
      <xdr:col>9</xdr:col>
      <xdr:colOff>52876</xdr:colOff>
      <xdr:row>25</xdr:row>
      <xdr:rowOff>99060</xdr:rowOff>
    </xdr:to>
    <xdr:pic>
      <xdr:nvPicPr>
        <xdr:cNvPr id="68" name="Picture 67">
          <a:extLst>
            <a:ext uri="{FF2B5EF4-FFF2-40B4-BE49-F238E27FC236}">
              <a16:creationId xmlns:a16="http://schemas.microsoft.com/office/drawing/2014/main" id="{EE8D97DA-E9CE-0ADF-1A66-A892332625E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341619" y="4473403"/>
          <a:ext cx="197657" cy="197657"/>
        </a:xfrm>
        <a:prstGeom prst="rect">
          <a:avLst/>
        </a:prstGeom>
      </xdr:spPr>
    </xdr:pic>
    <xdr:clientData/>
  </xdr:twoCellAnchor>
  <xdr:twoCellAnchor editAs="oneCell">
    <xdr:from>
      <xdr:col>11</xdr:col>
      <xdr:colOff>563881</xdr:colOff>
      <xdr:row>24</xdr:row>
      <xdr:rowOff>123647</xdr:rowOff>
    </xdr:from>
    <xdr:to>
      <xdr:col>12</xdr:col>
      <xdr:colOff>152400</xdr:colOff>
      <xdr:row>25</xdr:row>
      <xdr:rowOff>138886</xdr:rowOff>
    </xdr:to>
    <xdr:pic>
      <xdr:nvPicPr>
        <xdr:cNvPr id="150" name="Picture 149">
          <a:extLst>
            <a:ext uri="{FF2B5EF4-FFF2-40B4-BE49-F238E27FC236}">
              <a16:creationId xmlns:a16="http://schemas.microsoft.com/office/drawing/2014/main" id="{D944754C-0494-1748-B605-7AE118E2C4DC}"/>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7269481" y="4512767"/>
          <a:ext cx="198119" cy="198119"/>
        </a:xfrm>
        <a:prstGeom prst="rect">
          <a:avLst/>
        </a:prstGeom>
      </xdr:spPr>
    </xdr:pic>
    <xdr:clientData/>
  </xdr:twoCellAnchor>
  <xdr:twoCellAnchor>
    <xdr:from>
      <xdr:col>12</xdr:col>
      <xdr:colOff>243840</xdr:colOff>
      <xdr:row>24</xdr:row>
      <xdr:rowOff>30480</xdr:rowOff>
    </xdr:from>
    <xdr:to>
      <xdr:col>13</xdr:col>
      <xdr:colOff>251460</xdr:colOff>
      <xdr:row>25</xdr:row>
      <xdr:rowOff>129540</xdr:rowOff>
    </xdr:to>
    <xdr:sp macro="" textlink="'Pivot Table'!C5">
      <xdr:nvSpPr>
        <xdr:cNvPr id="146" name="TextBox 145">
          <a:extLst>
            <a:ext uri="{FF2B5EF4-FFF2-40B4-BE49-F238E27FC236}">
              <a16:creationId xmlns:a16="http://schemas.microsoft.com/office/drawing/2014/main" id="{ED6E7220-4E3A-8B9F-E5D4-6E706F76BE19}"/>
            </a:ext>
          </a:extLst>
        </xdr:cNvPr>
        <xdr:cNvSpPr txBox="1"/>
      </xdr:nvSpPr>
      <xdr:spPr>
        <a:xfrm>
          <a:off x="7559040" y="4419600"/>
          <a:ext cx="61722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617979D7-A21C-430A-982F-476BA974D900}" type="TxLink">
            <a:rPr lang="en-US" sz="1400" b="0" i="0" u="none" strike="noStrike">
              <a:solidFill>
                <a:schemeClr val="bg2">
                  <a:lumMod val="50000"/>
                </a:schemeClr>
              </a:solidFill>
              <a:effectLst/>
              <a:latin typeface="Arial Black" panose="020B0A04020102020204" pitchFamily="34" charset="0"/>
              <a:ea typeface="+mn-ea"/>
              <a:cs typeface="+mn-cs"/>
            </a:rPr>
            <a:pPr marL="0" indent="0"/>
            <a:t>8</a:t>
          </a:fld>
          <a:endParaRPr lang="en-US" sz="1400" b="0" i="0" u="none" strike="noStrike">
            <a:solidFill>
              <a:schemeClr val="bg2">
                <a:lumMod val="50000"/>
              </a:schemeClr>
            </a:solidFill>
            <a:effectLst/>
            <a:latin typeface="Arial Black" panose="020B0A04020102020204" pitchFamily="34" charset="0"/>
            <a:ea typeface="+mn-ea"/>
            <a:cs typeface="+mn-cs"/>
          </a:endParaRPr>
        </a:p>
      </xdr:txBody>
    </xdr:sp>
    <xdr:clientData/>
  </xdr:twoCellAnchor>
  <xdr:twoCellAnchor editAs="oneCell">
    <xdr:from>
      <xdr:col>11</xdr:col>
      <xdr:colOff>198121</xdr:colOff>
      <xdr:row>15</xdr:row>
      <xdr:rowOff>108407</xdr:rowOff>
    </xdr:from>
    <xdr:to>
      <xdr:col>11</xdr:col>
      <xdr:colOff>569774</xdr:colOff>
      <xdr:row>17</xdr:row>
      <xdr:rowOff>114300</xdr:rowOff>
    </xdr:to>
    <xdr:pic>
      <xdr:nvPicPr>
        <xdr:cNvPr id="151" name="Picture 150">
          <a:extLst>
            <a:ext uri="{FF2B5EF4-FFF2-40B4-BE49-F238E27FC236}">
              <a16:creationId xmlns:a16="http://schemas.microsoft.com/office/drawing/2014/main" id="{C414EC1E-5711-E73A-1F37-01F0240485BF}"/>
            </a:ext>
          </a:extLst>
        </xdr:cNvPr>
        <xdr:cNvPicPr>
          <a:picLocks noChangeAspect="1"/>
        </xdr:cNvPicPr>
      </xdr:nvPicPr>
      <xdr:blipFill>
        <a:blip xmlns:r="http://schemas.openxmlformats.org/officeDocument/2006/relationships" r:embed="rId11" cstate="print">
          <a:lum bright="70000" contrast="-70000"/>
          <a:extLst>
            <a:ext uri="{28A0092B-C50C-407E-A947-70E740481C1C}">
              <a14:useLocalDpi xmlns:a14="http://schemas.microsoft.com/office/drawing/2010/main" val="0"/>
            </a:ext>
          </a:extLst>
        </a:blip>
        <a:stretch>
          <a:fillRect/>
        </a:stretch>
      </xdr:blipFill>
      <xdr:spPr>
        <a:xfrm>
          <a:off x="6903721" y="2851607"/>
          <a:ext cx="371653" cy="371653"/>
        </a:xfrm>
        <a:prstGeom prst="rect">
          <a:avLst/>
        </a:prstGeom>
      </xdr:spPr>
    </xdr:pic>
    <xdr:clientData/>
  </xdr:twoCellAnchor>
  <xdr:twoCellAnchor editAs="oneCell">
    <xdr:from>
      <xdr:col>11</xdr:col>
      <xdr:colOff>220981</xdr:colOff>
      <xdr:row>18</xdr:row>
      <xdr:rowOff>169367</xdr:rowOff>
    </xdr:from>
    <xdr:to>
      <xdr:col>11</xdr:col>
      <xdr:colOff>592634</xdr:colOff>
      <xdr:row>20</xdr:row>
      <xdr:rowOff>175260</xdr:rowOff>
    </xdr:to>
    <xdr:pic>
      <xdr:nvPicPr>
        <xdr:cNvPr id="153" name="Picture 152">
          <a:extLst>
            <a:ext uri="{FF2B5EF4-FFF2-40B4-BE49-F238E27FC236}">
              <a16:creationId xmlns:a16="http://schemas.microsoft.com/office/drawing/2014/main" id="{F45D300D-FA46-CD61-4248-0217CCEBDD07}"/>
            </a:ext>
          </a:extLst>
        </xdr:cNvPr>
        <xdr:cNvPicPr>
          <a:picLocks noChangeAspect="1"/>
        </xdr:cNvPicPr>
      </xdr:nvPicPr>
      <xdr:blipFill>
        <a:blip xmlns:r="http://schemas.openxmlformats.org/officeDocument/2006/relationships" r:embed="rId11" cstate="print">
          <a:lum bright="70000" contrast="-70000"/>
          <a:extLst>
            <a:ext uri="{28A0092B-C50C-407E-A947-70E740481C1C}">
              <a14:useLocalDpi xmlns:a14="http://schemas.microsoft.com/office/drawing/2010/main" val="0"/>
            </a:ext>
          </a:extLst>
        </a:blip>
        <a:stretch>
          <a:fillRect/>
        </a:stretch>
      </xdr:blipFill>
      <xdr:spPr>
        <a:xfrm>
          <a:off x="6926581" y="3461207"/>
          <a:ext cx="371653" cy="371653"/>
        </a:xfrm>
        <a:prstGeom prst="rect">
          <a:avLst/>
        </a:prstGeom>
      </xdr:spPr>
    </xdr:pic>
    <xdr:clientData/>
  </xdr:twoCellAnchor>
  <xdr:twoCellAnchor editAs="oneCell">
    <xdr:from>
      <xdr:col>12</xdr:col>
      <xdr:colOff>205741</xdr:colOff>
      <xdr:row>18</xdr:row>
      <xdr:rowOff>169367</xdr:rowOff>
    </xdr:from>
    <xdr:to>
      <xdr:col>12</xdr:col>
      <xdr:colOff>577394</xdr:colOff>
      <xdr:row>20</xdr:row>
      <xdr:rowOff>175260</xdr:rowOff>
    </xdr:to>
    <xdr:pic>
      <xdr:nvPicPr>
        <xdr:cNvPr id="154" name="Picture 153">
          <a:extLst>
            <a:ext uri="{FF2B5EF4-FFF2-40B4-BE49-F238E27FC236}">
              <a16:creationId xmlns:a16="http://schemas.microsoft.com/office/drawing/2014/main" id="{3AB35624-5537-B426-E06B-5FC7EAD56872}"/>
            </a:ext>
          </a:extLst>
        </xdr:cNvPr>
        <xdr:cNvPicPr>
          <a:picLocks noChangeAspect="1"/>
        </xdr:cNvPicPr>
      </xdr:nvPicPr>
      <xdr:blipFill>
        <a:blip xmlns:r="http://schemas.openxmlformats.org/officeDocument/2006/relationships" r:embed="rId11" cstate="print">
          <a:lum bright="70000" contrast="-70000"/>
          <a:extLst>
            <a:ext uri="{28A0092B-C50C-407E-A947-70E740481C1C}">
              <a14:useLocalDpi xmlns:a14="http://schemas.microsoft.com/office/drawing/2010/main" val="0"/>
            </a:ext>
          </a:extLst>
        </a:blip>
        <a:stretch>
          <a:fillRect/>
        </a:stretch>
      </xdr:blipFill>
      <xdr:spPr>
        <a:xfrm>
          <a:off x="7520941" y="3461207"/>
          <a:ext cx="371653" cy="371653"/>
        </a:xfrm>
        <a:prstGeom prst="rect">
          <a:avLst/>
        </a:prstGeom>
      </xdr:spPr>
    </xdr:pic>
    <xdr:clientData/>
  </xdr:twoCellAnchor>
  <xdr:twoCellAnchor editAs="oneCell">
    <xdr:from>
      <xdr:col>12</xdr:col>
      <xdr:colOff>213361</xdr:colOff>
      <xdr:row>15</xdr:row>
      <xdr:rowOff>146507</xdr:rowOff>
    </xdr:from>
    <xdr:to>
      <xdr:col>12</xdr:col>
      <xdr:colOff>585014</xdr:colOff>
      <xdr:row>17</xdr:row>
      <xdr:rowOff>152400</xdr:rowOff>
    </xdr:to>
    <xdr:pic>
      <xdr:nvPicPr>
        <xdr:cNvPr id="155" name="Picture 154">
          <a:extLst>
            <a:ext uri="{FF2B5EF4-FFF2-40B4-BE49-F238E27FC236}">
              <a16:creationId xmlns:a16="http://schemas.microsoft.com/office/drawing/2014/main" id="{ED79D289-B2DE-678E-A97B-90909DA83488}"/>
            </a:ext>
          </a:extLst>
        </xdr:cNvPr>
        <xdr:cNvPicPr>
          <a:picLocks noChangeAspect="1"/>
        </xdr:cNvPicPr>
      </xdr:nvPicPr>
      <xdr:blipFill>
        <a:blip xmlns:r="http://schemas.openxmlformats.org/officeDocument/2006/relationships" r:embed="rId11" cstate="print">
          <a:lum bright="70000" contrast="-70000"/>
          <a:extLst>
            <a:ext uri="{28A0092B-C50C-407E-A947-70E740481C1C}">
              <a14:useLocalDpi xmlns:a14="http://schemas.microsoft.com/office/drawing/2010/main" val="0"/>
            </a:ext>
          </a:extLst>
        </a:blip>
        <a:stretch>
          <a:fillRect/>
        </a:stretch>
      </xdr:blipFill>
      <xdr:spPr>
        <a:xfrm>
          <a:off x="7528561" y="2889707"/>
          <a:ext cx="371653" cy="371653"/>
        </a:xfrm>
        <a:prstGeom prst="rect">
          <a:avLst/>
        </a:prstGeom>
      </xdr:spPr>
    </xdr:pic>
    <xdr:clientData/>
  </xdr:twoCellAnchor>
  <xdr:twoCellAnchor editAs="oneCell">
    <xdr:from>
      <xdr:col>13</xdr:col>
      <xdr:colOff>236221</xdr:colOff>
      <xdr:row>15</xdr:row>
      <xdr:rowOff>138887</xdr:rowOff>
    </xdr:from>
    <xdr:to>
      <xdr:col>13</xdr:col>
      <xdr:colOff>607874</xdr:colOff>
      <xdr:row>17</xdr:row>
      <xdr:rowOff>144780</xdr:rowOff>
    </xdr:to>
    <xdr:pic>
      <xdr:nvPicPr>
        <xdr:cNvPr id="156" name="Picture 155">
          <a:extLst>
            <a:ext uri="{FF2B5EF4-FFF2-40B4-BE49-F238E27FC236}">
              <a16:creationId xmlns:a16="http://schemas.microsoft.com/office/drawing/2014/main" id="{BF9C74C9-49A8-C849-1FE8-379F10746D2F}"/>
            </a:ext>
          </a:extLst>
        </xdr:cNvPr>
        <xdr:cNvPicPr>
          <a:picLocks noChangeAspect="1"/>
        </xdr:cNvPicPr>
      </xdr:nvPicPr>
      <xdr:blipFill>
        <a:blip xmlns:r="http://schemas.openxmlformats.org/officeDocument/2006/relationships" r:embed="rId11" cstate="print">
          <a:lum bright="70000" contrast="-70000"/>
          <a:extLst>
            <a:ext uri="{28A0092B-C50C-407E-A947-70E740481C1C}">
              <a14:useLocalDpi xmlns:a14="http://schemas.microsoft.com/office/drawing/2010/main" val="0"/>
            </a:ext>
          </a:extLst>
        </a:blip>
        <a:stretch>
          <a:fillRect/>
        </a:stretch>
      </xdr:blipFill>
      <xdr:spPr>
        <a:xfrm>
          <a:off x="8161021" y="2882087"/>
          <a:ext cx="371653" cy="371653"/>
        </a:xfrm>
        <a:prstGeom prst="rect">
          <a:avLst/>
        </a:prstGeom>
      </xdr:spPr>
    </xdr:pic>
    <xdr:clientData/>
  </xdr:twoCellAnchor>
  <xdr:twoCellAnchor editAs="oneCell">
    <xdr:from>
      <xdr:col>13</xdr:col>
      <xdr:colOff>198121</xdr:colOff>
      <xdr:row>18</xdr:row>
      <xdr:rowOff>123647</xdr:rowOff>
    </xdr:from>
    <xdr:to>
      <xdr:col>13</xdr:col>
      <xdr:colOff>569774</xdr:colOff>
      <xdr:row>20</xdr:row>
      <xdr:rowOff>129540</xdr:rowOff>
    </xdr:to>
    <xdr:pic>
      <xdr:nvPicPr>
        <xdr:cNvPr id="157" name="Picture 156">
          <a:extLst>
            <a:ext uri="{FF2B5EF4-FFF2-40B4-BE49-F238E27FC236}">
              <a16:creationId xmlns:a16="http://schemas.microsoft.com/office/drawing/2014/main" id="{EE07AFBC-B8F6-346D-2AE1-BAB9ECE4D11F}"/>
            </a:ext>
          </a:extLst>
        </xdr:cNvPr>
        <xdr:cNvPicPr>
          <a:picLocks noChangeAspect="1"/>
        </xdr:cNvPicPr>
      </xdr:nvPicPr>
      <xdr:blipFill>
        <a:blip xmlns:r="http://schemas.openxmlformats.org/officeDocument/2006/relationships" r:embed="rId11" cstate="print">
          <a:lum bright="70000" contrast="-70000"/>
          <a:extLst>
            <a:ext uri="{28A0092B-C50C-407E-A947-70E740481C1C}">
              <a14:useLocalDpi xmlns:a14="http://schemas.microsoft.com/office/drawing/2010/main" val="0"/>
            </a:ext>
          </a:extLst>
        </a:blip>
        <a:stretch>
          <a:fillRect/>
        </a:stretch>
      </xdr:blipFill>
      <xdr:spPr>
        <a:xfrm>
          <a:off x="8122921" y="3415487"/>
          <a:ext cx="371653" cy="371653"/>
        </a:xfrm>
        <a:prstGeom prst="rect">
          <a:avLst/>
        </a:prstGeom>
      </xdr:spPr>
    </xdr:pic>
    <xdr:clientData/>
  </xdr:twoCellAnchor>
  <xdr:twoCellAnchor>
    <xdr:from>
      <xdr:col>1</xdr:col>
      <xdr:colOff>83820</xdr:colOff>
      <xdr:row>13</xdr:row>
      <xdr:rowOff>45720</xdr:rowOff>
    </xdr:from>
    <xdr:to>
      <xdr:col>7</xdr:col>
      <xdr:colOff>358140</xdr:colOff>
      <xdr:row>26</xdr:row>
      <xdr:rowOff>152400</xdr:rowOff>
    </xdr:to>
    <xdr:sp macro="" textlink="">
      <xdr:nvSpPr>
        <xdr:cNvPr id="159" name="Rectangle: Rounded Corners 158">
          <a:extLst>
            <a:ext uri="{FF2B5EF4-FFF2-40B4-BE49-F238E27FC236}">
              <a16:creationId xmlns:a16="http://schemas.microsoft.com/office/drawing/2014/main" id="{9C0FEC18-89B1-47CC-8FF9-822C4E03A3A4}"/>
            </a:ext>
          </a:extLst>
        </xdr:cNvPr>
        <xdr:cNvSpPr/>
      </xdr:nvSpPr>
      <xdr:spPr>
        <a:xfrm>
          <a:off x="83820" y="2293620"/>
          <a:ext cx="3931920" cy="2484120"/>
        </a:xfrm>
        <a:prstGeom prst="roundRect">
          <a:avLst>
            <a:gd name="adj" fmla="val 2537"/>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175260</xdr:colOff>
      <xdr:row>13</xdr:row>
      <xdr:rowOff>114300</xdr:rowOff>
    </xdr:from>
    <xdr:to>
      <xdr:col>7</xdr:col>
      <xdr:colOff>312420</xdr:colOff>
      <xdr:row>25</xdr:row>
      <xdr:rowOff>144780</xdr:rowOff>
    </xdr:to>
    <xdr:sp macro="" textlink="">
      <xdr:nvSpPr>
        <xdr:cNvPr id="162" name="Rectangle 161">
          <a:extLst>
            <a:ext uri="{FF2B5EF4-FFF2-40B4-BE49-F238E27FC236}">
              <a16:creationId xmlns:a16="http://schemas.microsoft.com/office/drawing/2014/main" id="{64BF6B69-9EC0-4A80-B050-F48498A57D10}"/>
            </a:ext>
          </a:extLst>
        </xdr:cNvPr>
        <xdr:cNvSpPr/>
      </xdr:nvSpPr>
      <xdr:spPr>
        <a:xfrm>
          <a:off x="784860" y="2491740"/>
          <a:ext cx="3794760" cy="2225040"/>
        </a:xfrm>
        <a:prstGeom prst="rect">
          <a:avLst/>
        </a:prstGeom>
        <a:solidFill>
          <a:schemeClr val="accent4">
            <a:lumMod val="20000"/>
            <a:lumOff val="80000"/>
            <a:alpha val="44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281940</xdr:colOff>
      <xdr:row>13</xdr:row>
      <xdr:rowOff>137160</xdr:rowOff>
    </xdr:from>
    <xdr:to>
      <xdr:col>7</xdr:col>
      <xdr:colOff>30480</xdr:colOff>
      <xdr:row>25</xdr:row>
      <xdr:rowOff>129540</xdr:rowOff>
    </xdr:to>
    <xdr:graphicFrame macro="">
      <xdr:nvGraphicFramePr>
        <xdr:cNvPr id="161" name="Chart 160">
          <a:extLst>
            <a:ext uri="{FF2B5EF4-FFF2-40B4-BE49-F238E27FC236}">
              <a16:creationId xmlns:a16="http://schemas.microsoft.com/office/drawing/2014/main" id="{9D327CE5-EF96-4159-8E05-242B31529A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205740</xdr:colOff>
      <xdr:row>13</xdr:row>
      <xdr:rowOff>152400</xdr:rowOff>
    </xdr:from>
    <xdr:to>
      <xdr:col>5</xdr:col>
      <xdr:colOff>571500</xdr:colOff>
      <xdr:row>15</xdr:row>
      <xdr:rowOff>68580</xdr:rowOff>
    </xdr:to>
    <xdr:sp macro="" textlink="">
      <xdr:nvSpPr>
        <xdr:cNvPr id="163" name="TextBox 162">
          <a:extLst>
            <a:ext uri="{FF2B5EF4-FFF2-40B4-BE49-F238E27FC236}">
              <a16:creationId xmlns:a16="http://schemas.microsoft.com/office/drawing/2014/main" id="{7B9FB298-1958-4D2B-8306-E40CB7750B3C}"/>
            </a:ext>
          </a:extLst>
        </xdr:cNvPr>
        <xdr:cNvSpPr txBox="1"/>
      </xdr:nvSpPr>
      <xdr:spPr>
        <a:xfrm>
          <a:off x="815340" y="2400300"/>
          <a:ext cx="21945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050">
              <a:solidFill>
                <a:srgbClr val="00B0F0"/>
              </a:solidFill>
              <a:latin typeface="Arial Black" panose="020B0A04020102020204" pitchFamily="34" charset="0"/>
              <a:ea typeface="+mn-ea"/>
              <a:cs typeface="+mn-cs"/>
            </a:rPr>
            <a:t>GENDER DISTRIBUTION</a:t>
          </a:r>
        </a:p>
      </xdr:txBody>
    </xdr:sp>
    <xdr:clientData/>
  </xdr:twoCellAnchor>
  <xdr:twoCellAnchor>
    <xdr:from>
      <xdr:col>14</xdr:col>
      <xdr:colOff>312420</xdr:colOff>
      <xdr:row>13</xdr:row>
      <xdr:rowOff>68580</xdr:rowOff>
    </xdr:from>
    <xdr:to>
      <xdr:col>21</xdr:col>
      <xdr:colOff>320040</xdr:colOff>
      <xdr:row>26</xdr:row>
      <xdr:rowOff>175260</xdr:rowOff>
    </xdr:to>
    <xdr:sp macro="" textlink="">
      <xdr:nvSpPr>
        <xdr:cNvPr id="164" name="Rectangle: Rounded Corners 163">
          <a:extLst>
            <a:ext uri="{FF2B5EF4-FFF2-40B4-BE49-F238E27FC236}">
              <a16:creationId xmlns:a16="http://schemas.microsoft.com/office/drawing/2014/main" id="{44011AD2-78B7-4062-95AE-B291ABEF7E26}"/>
            </a:ext>
          </a:extLst>
        </xdr:cNvPr>
        <xdr:cNvSpPr/>
      </xdr:nvSpPr>
      <xdr:spPr>
        <a:xfrm>
          <a:off x="8237220" y="2316480"/>
          <a:ext cx="4274820" cy="2484120"/>
        </a:xfrm>
        <a:prstGeom prst="roundRect">
          <a:avLst>
            <a:gd name="adj" fmla="val 2537"/>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396240</xdr:colOff>
      <xdr:row>13</xdr:row>
      <xdr:rowOff>152400</xdr:rowOff>
    </xdr:from>
    <xdr:to>
      <xdr:col>21</xdr:col>
      <xdr:colOff>228600</xdr:colOff>
      <xdr:row>25</xdr:row>
      <xdr:rowOff>106680</xdr:rowOff>
    </xdr:to>
    <xdr:sp macro="" textlink="">
      <xdr:nvSpPr>
        <xdr:cNvPr id="165" name="Rectangle 164">
          <a:extLst>
            <a:ext uri="{FF2B5EF4-FFF2-40B4-BE49-F238E27FC236}">
              <a16:creationId xmlns:a16="http://schemas.microsoft.com/office/drawing/2014/main" id="{9CF72075-3E27-4322-9901-D0A5F0FB3FAE}"/>
            </a:ext>
          </a:extLst>
        </xdr:cNvPr>
        <xdr:cNvSpPr/>
      </xdr:nvSpPr>
      <xdr:spPr>
        <a:xfrm>
          <a:off x="8930640" y="2529840"/>
          <a:ext cx="4099560" cy="2148840"/>
        </a:xfrm>
        <a:prstGeom prst="rect">
          <a:avLst/>
        </a:prstGeom>
        <a:solidFill>
          <a:schemeClr val="accent4">
            <a:lumMod val="20000"/>
            <a:lumOff val="80000"/>
            <a:alpha val="44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419100</xdr:colOff>
      <xdr:row>13</xdr:row>
      <xdr:rowOff>144780</xdr:rowOff>
    </xdr:from>
    <xdr:to>
      <xdr:col>21</xdr:col>
      <xdr:colOff>76200</xdr:colOff>
      <xdr:row>25</xdr:row>
      <xdr:rowOff>0</xdr:rowOff>
    </xdr:to>
    <xdr:graphicFrame macro="">
      <xdr:nvGraphicFramePr>
        <xdr:cNvPr id="166" name="Chart 165">
          <a:extLst>
            <a:ext uri="{FF2B5EF4-FFF2-40B4-BE49-F238E27FC236}">
              <a16:creationId xmlns:a16="http://schemas.microsoft.com/office/drawing/2014/main" id="{805DD935-50F8-473A-8617-E52ED129E9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190500</xdr:colOff>
      <xdr:row>14</xdr:row>
      <xdr:rowOff>0</xdr:rowOff>
    </xdr:from>
    <xdr:to>
      <xdr:col>20</xdr:col>
      <xdr:colOff>205740</xdr:colOff>
      <xdr:row>15</xdr:row>
      <xdr:rowOff>99060</xdr:rowOff>
    </xdr:to>
    <xdr:sp macro="" textlink="">
      <xdr:nvSpPr>
        <xdr:cNvPr id="167" name="TextBox 166">
          <a:extLst>
            <a:ext uri="{FF2B5EF4-FFF2-40B4-BE49-F238E27FC236}">
              <a16:creationId xmlns:a16="http://schemas.microsoft.com/office/drawing/2014/main" id="{C907576B-3C6D-D13B-AC0F-049F07A47A93}"/>
            </a:ext>
          </a:extLst>
        </xdr:cNvPr>
        <xdr:cNvSpPr txBox="1"/>
      </xdr:nvSpPr>
      <xdr:spPr>
        <a:xfrm>
          <a:off x="9334500" y="2560320"/>
          <a:ext cx="30632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050">
              <a:solidFill>
                <a:srgbClr val="00B0F0"/>
              </a:solidFill>
              <a:latin typeface="Arial Black" panose="020B0A04020102020204" pitchFamily="34" charset="0"/>
              <a:ea typeface="+mn-ea"/>
              <a:cs typeface="+mn-cs"/>
            </a:rPr>
            <a:t> DISTRIBUTION BY AGE CATEGORY</a:t>
          </a:r>
        </a:p>
      </xdr:txBody>
    </xdr:sp>
    <xdr:clientData/>
  </xdr:twoCellAnchor>
  <xdr:twoCellAnchor>
    <xdr:from>
      <xdr:col>1</xdr:col>
      <xdr:colOff>495300</xdr:colOff>
      <xdr:row>1</xdr:row>
      <xdr:rowOff>38100</xdr:rowOff>
    </xdr:from>
    <xdr:to>
      <xdr:col>10</xdr:col>
      <xdr:colOff>502920</xdr:colOff>
      <xdr:row>3</xdr:row>
      <xdr:rowOff>91440</xdr:rowOff>
    </xdr:to>
    <xdr:sp macro="" textlink="">
      <xdr:nvSpPr>
        <xdr:cNvPr id="168" name="TextBox 167">
          <a:extLst>
            <a:ext uri="{FF2B5EF4-FFF2-40B4-BE49-F238E27FC236}">
              <a16:creationId xmlns:a16="http://schemas.microsoft.com/office/drawing/2014/main" id="{0F881AB9-DB5C-4814-8F98-D89768858A71}"/>
            </a:ext>
          </a:extLst>
        </xdr:cNvPr>
        <xdr:cNvSpPr txBox="1"/>
      </xdr:nvSpPr>
      <xdr:spPr>
        <a:xfrm>
          <a:off x="1104900" y="220980"/>
          <a:ext cx="549402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rgbClr val="00B0F0"/>
              </a:solidFill>
              <a:effectLst/>
              <a:latin typeface="Arial Black" panose="020B0A04020102020204" pitchFamily="34" charset="0"/>
              <a:ea typeface="+mn-ea"/>
              <a:cs typeface="+mn-cs"/>
            </a:rPr>
            <a:t>Diabetes</a:t>
          </a:r>
          <a:r>
            <a:rPr lang="en-US" sz="2000" b="1" i="0" u="none" strike="noStrike" baseline="0">
              <a:solidFill>
                <a:srgbClr val="00B0F0"/>
              </a:solidFill>
              <a:effectLst/>
              <a:latin typeface="Arial Black" panose="020B0A04020102020204" pitchFamily="34" charset="0"/>
              <a:ea typeface="+mn-ea"/>
              <a:cs typeface="+mn-cs"/>
            </a:rPr>
            <a:t> </a:t>
          </a:r>
          <a:r>
            <a:rPr lang="en-US" sz="2000" b="1" i="0" u="none" strike="noStrike" baseline="0">
              <a:solidFill>
                <a:schemeClr val="dk1"/>
              </a:solidFill>
              <a:effectLst/>
              <a:latin typeface="Arial Black" panose="020B0A04020102020204" pitchFamily="34" charset="0"/>
              <a:ea typeface="+mn-ea"/>
              <a:cs typeface="+mn-cs"/>
            </a:rPr>
            <a:t>Patients Analysis </a:t>
          </a:r>
          <a:r>
            <a:rPr lang="en-US" sz="2000" b="1" i="0" u="none" strike="noStrike" baseline="0">
              <a:solidFill>
                <a:sysClr val="windowText" lastClr="000000"/>
              </a:solidFill>
              <a:effectLst/>
              <a:latin typeface="Arial Black" panose="020B0A04020102020204" pitchFamily="34" charset="0"/>
              <a:ea typeface="+mn-ea"/>
              <a:cs typeface="+mn-cs"/>
            </a:rPr>
            <a:t>Dashboard</a:t>
          </a:r>
          <a:endParaRPr lang="en-US" sz="2000">
            <a:solidFill>
              <a:sysClr val="windowText" lastClr="000000"/>
            </a:solidFill>
            <a:latin typeface="Arial Black" panose="020B0A04020102020204" pitchFamily="34" charset="0"/>
          </a:endParaRPr>
        </a:p>
      </xdr:txBody>
    </xdr:sp>
    <xdr:clientData/>
  </xdr:twoCellAnchor>
  <xdr:twoCellAnchor>
    <xdr:from>
      <xdr:col>7</xdr:col>
      <xdr:colOff>525780</xdr:colOff>
      <xdr:row>27</xdr:row>
      <xdr:rowOff>68580</xdr:rowOff>
    </xdr:from>
    <xdr:to>
      <xdr:col>14</xdr:col>
      <xdr:colOff>160020</xdr:colOff>
      <xdr:row>31</xdr:row>
      <xdr:rowOff>175260</xdr:rowOff>
    </xdr:to>
    <xdr:sp macro="" textlink="">
      <xdr:nvSpPr>
        <xdr:cNvPr id="169" name="Rectangle: Rounded Corners 168">
          <a:extLst>
            <a:ext uri="{FF2B5EF4-FFF2-40B4-BE49-F238E27FC236}">
              <a16:creationId xmlns:a16="http://schemas.microsoft.com/office/drawing/2014/main" id="{AF0A5EB1-2A9A-4B32-B0CF-71699CF344A2}"/>
            </a:ext>
          </a:extLst>
        </xdr:cNvPr>
        <xdr:cNvSpPr/>
      </xdr:nvSpPr>
      <xdr:spPr>
        <a:xfrm>
          <a:off x="4183380" y="4876800"/>
          <a:ext cx="3901440" cy="838200"/>
        </a:xfrm>
        <a:prstGeom prst="roundRect">
          <a:avLst>
            <a:gd name="adj" fmla="val 2537"/>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601980</xdr:colOff>
      <xdr:row>27</xdr:row>
      <xdr:rowOff>83820</xdr:rowOff>
    </xdr:from>
    <xdr:to>
      <xdr:col>13</xdr:col>
      <xdr:colOff>83820</xdr:colOff>
      <xdr:row>29</xdr:row>
      <xdr:rowOff>0</xdr:rowOff>
    </xdr:to>
    <xdr:sp macro="" textlink="">
      <xdr:nvSpPr>
        <xdr:cNvPr id="170" name="TextBox 169">
          <a:extLst>
            <a:ext uri="{FF2B5EF4-FFF2-40B4-BE49-F238E27FC236}">
              <a16:creationId xmlns:a16="http://schemas.microsoft.com/office/drawing/2014/main" id="{2D154869-6126-477D-9A1F-E996B5B0FBD7}"/>
            </a:ext>
          </a:extLst>
        </xdr:cNvPr>
        <xdr:cNvSpPr txBox="1"/>
      </xdr:nvSpPr>
      <xdr:spPr>
        <a:xfrm>
          <a:off x="4869180" y="4892040"/>
          <a:ext cx="25298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050">
              <a:solidFill>
                <a:srgbClr val="00B0F0"/>
              </a:solidFill>
              <a:latin typeface="Arial Black" panose="020B0A04020102020204" pitchFamily="34" charset="0"/>
              <a:ea typeface="+mn-ea"/>
              <a:cs typeface="+mn-cs"/>
            </a:rPr>
            <a:t>TOTAL</a:t>
          </a:r>
          <a:r>
            <a:rPr lang="en-US" sz="1050" baseline="0">
              <a:solidFill>
                <a:srgbClr val="00B0F0"/>
              </a:solidFill>
              <a:latin typeface="Arial Black" panose="020B0A04020102020204" pitchFamily="34" charset="0"/>
              <a:ea typeface="+mn-ea"/>
              <a:cs typeface="+mn-cs"/>
            </a:rPr>
            <a:t> PATIENTS EXAMINED</a:t>
          </a:r>
          <a:endParaRPr lang="en-US" sz="1050">
            <a:solidFill>
              <a:srgbClr val="00B0F0"/>
            </a:solidFill>
            <a:latin typeface="Arial Black" panose="020B0A04020102020204" pitchFamily="34" charset="0"/>
            <a:ea typeface="+mn-ea"/>
            <a:cs typeface="+mn-cs"/>
          </a:endParaRPr>
        </a:p>
      </xdr:txBody>
    </xdr:sp>
    <xdr:clientData/>
  </xdr:twoCellAnchor>
  <xdr:twoCellAnchor>
    <xdr:from>
      <xdr:col>10</xdr:col>
      <xdr:colOff>99060</xdr:colOff>
      <xdr:row>28</xdr:row>
      <xdr:rowOff>167640</xdr:rowOff>
    </xdr:from>
    <xdr:to>
      <xdr:col>11</xdr:col>
      <xdr:colOff>205740</xdr:colOff>
      <xdr:row>31</xdr:row>
      <xdr:rowOff>30480</xdr:rowOff>
    </xdr:to>
    <xdr:sp macro="" textlink="'Pivot Table'!O4">
      <xdr:nvSpPr>
        <xdr:cNvPr id="171" name="TextBox 170">
          <a:extLst>
            <a:ext uri="{FF2B5EF4-FFF2-40B4-BE49-F238E27FC236}">
              <a16:creationId xmlns:a16="http://schemas.microsoft.com/office/drawing/2014/main" id="{87C7173A-C802-4161-9A15-2F22FC1BAA90}"/>
            </a:ext>
          </a:extLst>
        </xdr:cNvPr>
        <xdr:cNvSpPr txBox="1"/>
      </xdr:nvSpPr>
      <xdr:spPr>
        <a:xfrm>
          <a:off x="5585460" y="5158740"/>
          <a:ext cx="716280"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4755F40-2636-4D92-AD16-725119F84D40}" type="TxLink">
            <a:rPr lang="en-US" sz="1800" b="0" i="0" u="none" strike="noStrike">
              <a:solidFill>
                <a:schemeClr val="bg2">
                  <a:lumMod val="50000"/>
                </a:schemeClr>
              </a:solidFill>
              <a:effectLst/>
              <a:latin typeface="Arial Black" panose="020B0A04020102020204" pitchFamily="34" charset="0"/>
              <a:ea typeface="+mn-ea"/>
              <a:cs typeface="+mn-cs"/>
            </a:rPr>
            <a:pPr marL="0" indent="0"/>
            <a:t>13</a:t>
          </a:fld>
          <a:endParaRPr lang="en-US" sz="1800" b="0" i="0" u="none" strike="noStrike">
            <a:solidFill>
              <a:schemeClr val="bg2">
                <a:lumMod val="50000"/>
              </a:schemeClr>
            </a:solidFill>
            <a:effectLst/>
            <a:latin typeface="Arial Black" panose="020B0A04020102020204" pitchFamily="34" charset="0"/>
            <a:ea typeface="+mn-ea"/>
            <a:cs typeface="+mn-cs"/>
          </a:endParaRPr>
        </a:p>
      </xdr:txBody>
    </xdr:sp>
    <xdr:clientData/>
  </xdr:twoCellAnchor>
  <xdr:twoCellAnchor>
    <xdr:from>
      <xdr:col>21</xdr:col>
      <xdr:colOff>388620</xdr:colOff>
      <xdr:row>3</xdr:row>
      <xdr:rowOff>152400</xdr:rowOff>
    </xdr:from>
    <xdr:to>
      <xdr:col>23</xdr:col>
      <xdr:colOff>510540</xdr:colOff>
      <xdr:row>26</xdr:row>
      <xdr:rowOff>152400</xdr:rowOff>
    </xdr:to>
    <xdr:sp macro="" textlink="">
      <xdr:nvSpPr>
        <xdr:cNvPr id="173" name="Rectangle: Rounded Corners 172">
          <a:extLst>
            <a:ext uri="{FF2B5EF4-FFF2-40B4-BE49-F238E27FC236}">
              <a16:creationId xmlns:a16="http://schemas.microsoft.com/office/drawing/2014/main" id="{53834F83-D47D-400F-B3ED-189EAB3F9AE2}"/>
            </a:ext>
          </a:extLst>
        </xdr:cNvPr>
        <xdr:cNvSpPr/>
      </xdr:nvSpPr>
      <xdr:spPr>
        <a:xfrm>
          <a:off x="12580620" y="571500"/>
          <a:ext cx="1341120" cy="4206240"/>
        </a:xfrm>
        <a:prstGeom prst="roundRect">
          <a:avLst>
            <a:gd name="adj" fmla="val 2537"/>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441960</xdr:colOff>
      <xdr:row>4</xdr:row>
      <xdr:rowOff>15240</xdr:rowOff>
    </xdr:from>
    <xdr:to>
      <xdr:col>23</xdr:col>
      <xdr:colOff>381000</xdr:colOff>
      <xdr:row>26</xdr:row>
      <xdr:rowOff>15240</xdr:rowOff>
    </xdr:to>
    <xdr:sp macro="" textlink="">
      <xdr:nvSpPr>
        <xdr:cNvPr id="174" name="Rectangle 173">
          <a:extLst>
            <a:ext uri="{FF2B5EF4-FFF2-40B4-BE49-F238E27FC236}">
              <a16:creationId xmlns:a16="http://schemas.microsoft.com/office/drawing/2014/main" id="{01EFCCC9-513E-4C28-8249-78C1288AD568}"/>
            </a:ext>
          </a:extLst>
        </xdr:cNvPr>
        <xdr:cNvSpPr/>
      </xdr:nvSpPr>
      <xdr:spPr>
        <a:xfrm>
          <a:off x="12633960" y="617220"/>
          <a:ext cx="1158240" cy="4023360"/>
        </a:xfrm>
        <a:prstGeom prst="rect">
          <a:avLst/>
        </a:prstGeom>
        <a:solidFill>
          <a:schemeClr val="accent4">
            <a:lumMod val="20000"/>
            <a:lumOff val="80000"/>
            <a:alpha val="44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502920</xdr:colOff>
      <xdr:row>4</xdr:row>
      <xdr:rowOff>76200</xdr:rowOff>
    </xdr:from>
    <xdr:to>
      <xdr:col>23</xdr:col>
      <xdr:colOff>297180</xdr:colOff>
      <xdr:row>25</xdr:row>
      <xdr:rowOff>7620</xdr:rowOff>
    </xdr:to>
    <mc:AlternateContent xmlns:mc="http://schemas.openxmlformats.org/markup-compatibility/2006">
      <mc:Choice xmlns:a14="http://schemas.microsoft.com/office/drawing/2010/main" Requires="a14">
        <xdr:graphicFrame macro="">
          <xdr:nvGraphicFramePr>
            <xdr:cNvPr id="172" name="Month">
              <a:extLst>
                <a:ext uri="{FF2B5EF4-FFF2-40B4-BE49-F238E27FC236}">
                  <a16:creationId xmlns:a16="http://schemas.microsoft.com/office/drawing/2014/main" id="{77909BF0-1EC0-49CE-9485-BE0B33C9E8F6}"/>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12694920" y="678180"/>
              <a:ext cx="1013460" cy="37719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304800</xdr:colOff>
      <xdr:row>27</xdr:row>
      <xdr:rowOff>76200</xdr:rowOff>
    </xdr:from>
    <xdr:to>
      <xdr:col>23</xdr:col>
      <xdr:colOff>548640</xdr:colOff>
      <xdr:row>31</xdr:row>
      <xdr:rowOff>160020</xdr:rowOff>
    </xdr:to>
    <mc:AlternateContent xmlns:mc="http://schemas.openxmlformats.org/markup-compatibility/2006">
      <mc:Choice xmlns:a14="http://schemas.microsoft.com/office/drawing/2010/main" Requires="a14">
        <xdr:graphicFrame macro="">
          <xdr:nvGraphicFramePr>
            <xdr:cNvPr id="175" name="Year">
              <a:extLst>
                <a:ext uri="{FF2B5EF4-FFF2-40B4-BE49-F238E27FC236}">
                  <a16:creationId xmlns:a16="http://schemas.microsoft.com/office/drawing/2014/main" id="{F0F7512F-D6F8-4751-A228-176616F4D31F}"/>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8229600" y="4884420"/>
              <a:ext cx="5730240" cy="8153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121920</xdr:colOff>
      <xdr:row>27</xdr:row>
      <xdr:rowOff>76200</xdr:rowOff>
    </xdr:from>
    <xdr:to>
      <xdr:col>19</xdr:col>
      <xdr:colOff>152400</xdr:colOff>
      <xdr:row>28</xdr:row>
      <xdr:rowOff>175260</xdr:rowOff>
    </xdr:to>
    <xdr:sp macro="" textlink="">
      <xdr:nvSpPr>
        <xdr:cNvPr id="176" name="TextBox 175">
          <a:extLst>
            <a:ext uri="{FF2B5EF4-FFF2-40B4-BE49-F238E27FC236}">
              <a16:creationId xmlns:a16="http://schemas.microsoft.com/office/drawing/2014/main" id="{0F9B5A1C-EF84-DDC2-57D4-43E0B1A155C2}"/>
            </a:ext>
          </a:extLst>
        </xdr:cNvPr>
        <xdr:cNvSpPr txBox="1"/>
      </xdr:nvSpPr>
      <xdr:spPr>
        <a:xfrm>
          <a:off x="9875520" y="4884420"/>
          <a:ext cx="124968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900">
              <a:solidFill>
                <a:srgbClr val="00B0F0"/>
              </a:solidFill>
              <a:latin typeface="Arial Black" panose="020B0A04020102020204" pitchFamily="34" charset="0"/>
              <a:ea typeface="+mn-ea"/>
              <a:cs typeface="+mn-cs"/>
            </a:rPr>
            <a:t>FILTER BY YEAR</a:t>
          </a:r>
        </a:p>
      </xdr:txBody>
    </xdr:sp>
    <xdr:clientData/>
  </xdr:twoCellAnchor>
  <xdr:twoCellAnchor>
    <xdr:from>
      <xdr:col>21</xdr:col>
      <xdr:colOff>373380</xdr:colOff>
      <xdr:row>24</xdr:row>
      <xdr:rowOff>152400</xdr:rowOff>
    </xdr:from>
    <xdr:to>
      <xdr:col>23</xdr:col>
      <xdr:colOff>533400</xdr:colOff>
      <xdr:row>26</xdr:row>
      <xdr:rowOff>68580</xdr:rowOff>
    </xdr:to>
    <xdr:sp macro="" textlink="">
      <xdr:nvSpPr>
        <xdr:cNvPr id="177" name="TextBox 176">
          <a:extLst>
            <a:ext uri="{FF2B5EF4-FFF2-40B4-BE49-F238E27FC236}">
              <a16:creationId xmlns:a16="http://schemas.microsoft.com/office/drawing/2014/main" id="{5CAC7A29-CF5B-47FA-A73F-F03AECDDBE43}"/>
            </a:ext>
          </a:extLst>
        </xdr:cNvPr>
        <xdr:cNvSpPr txBox="1"/>
      </xdr:nvSpPr>
      <xdr:spPr>
        <a:xfrm>
          <a:off x="12565380" y="4411980"/>
          <a:ext cx="137922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900">
              <a:solidFill>
                <a:srgbClr val="00B0F0"/>
              </a:solidFill>
              <a:latin typeface="Arial Black" panose="020B0A04020102020204" pitchFamily="34" charset="0"/>
              <a:ea typeface="+mn-ea"/>
              <a:cs typeface="+mn-cs"/>
            </a:rPr>
            <a:t>FILTER BY MONTH</a:t>
          </a:r>
        </a:p>
      </xdr:txBody>
    </xdr:sp>
    <xdr:clientData/>
  </xdr:twoCellAnchor>
  <xdr:twoCellAnchor editAs="oneCell">
    <xdr:from>
      <xdr:col>7</xdr:col>
      <xdr:colOff>411480</xdr:colOff>
      <xdr:row>27</xdr:row>
      <xdr:rowOff>30480</xdr:rowOff>
    </xdr:from>
    <xdr:to>
      <xdr:col>9</xdr:col>
      <xdr:colOff>129540</xdr:colOff>
      <xdr:row>32</xdr:row>
      <xdr:rowOff>53340</xdr:rowOff>
    </xdr:to>
    <xdr:pic>
      <xdr:nvPicPr>
        <xdr:cNvPr id="179" name="Picture 178">
          <a:extLst>
            <a:ext uri="{FF2B5EF4-FFF2-40B4-BE49-F238E27FC236}">
              <a16:creationId xmlns:a16="http://schemas.microsoft.com/office/drawing/2014/main" id="{3CB5150B-F230-6D5D-01B4-05313A781968}"/>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4069080" y="4838700"/>
          <a:ext cx="937260" cy="937260"/>
        </a:xfrm>
        <a:prstGeom prst="rect">
          <a:avLst/>
        </a:prstGeom>
      </xdr:spPr>
    </xdr:pic>
    <xdr:clientData/>
  </xdr:twoCellAnchor>
  <xdr:twoCellAnchor editAs="oneCell">
    <xdr:from>
      <xdr:col>12</xdr:col>
      <xdr:colOff>601981</xdr:colOff>
      <xdr:row>27</xdr:row>
      <xdr:rowOff>127139</xdr:rowOff>
    </xdr:from>
    <xdr:to>
      <xdr:col>14</xdr:col>
      <xdr:colOff>91441</xdr:colOff>
      <xdr:row>31</xdr:row>
      <xdr:rowOff>104279</xdr:rowOff>
    </xdr:to>
    <xdr:pic>
      <xdr:nvPicPr>
        <xdr:cNvPr id="181" name="Picture 180">
          <a:extLst>
            <a:ext uri="{FF2B5EF4-FFF2-40B4-BE49-F238E27FC236}">
              <a16:creationId xmlns:a16="http://schemas.microsoft.com/office/drawing/2014/main" id="{57467CB7-4406-AB39-74E0-CFF784DA1867}"/>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7307581" y="4935359"/>
          <a:ext cx="708660" cy="7086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594360</xdr:colOff>
          <xdr:row>19</xdr:row>
          <xdr:rowOff>7620</xdr:rowOff>
        </xdr:from>
        <xdr:to>
          <xdr:col>8</xdr:col>
          <xdr:colOff>594360</xdr:colOff>
          <xdr:row>21</xdr:row>
          <xdr:rowOff>22860</xdr:rowOff>
        </xdr:to>
        <xdr:pic macro="[0]!talent">
          <xdr:nvPicPr>
            <xdr:cNvPr id="4" name="Picture 3">
              <a:extLst>
                <a:ext uri="{FF2B5EF4-FFF2-40B4-BE49-F238E27FC236}">
                  <a16:creationId xmlns:a16="http://schemas.microsoft.com/office/drawing/2014/main" id="{4FA41EDF-68B5-4137-0892-84C30CEC637A}"/>
                </a:ext>
              </a:extLst>
            </xdr:cNvPr>
            <xdr:cNvPicPr>
              <a:picLocks noChangeAspect="1" noChangeArrowheads="1"/>
              <a:extLst>
                <a:ext uri="{84589F7E-364E-4C9E-8A38-B11213B215E9}">
                  <a14:cameraTool cellRange="$T$12" spid="_x0000_s5181"/>
                </a:ext>
              </a:extLst>
            </xdr:cNvPicPr>
          </xdr:nvPicPr>
          <xdr:blipFill>
            <a:blip xmlns:r="http://schemas.openxmlformats.org/officeDocument/2006/relationships" r:embed="rId1"/>
            <a:srcRect/>
            <a:stretch>
              <a:fillRect/>
            </a:stretch>
          </xdr:blipFill>
          <xdr:spPr bwMode="auto">
            <a:xfrm>
              <a:off x="6522720" y="4152900"/>
              <a:ext cx="1219200" cy="4191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a:extLst>
              <a:ext uri="{909E8E84-426E-40DD-AFC4-6F175D3DCCD1}">
                <a14:hiddenFill>
                  <a:solidFill>
                    <a:srgbClr val="FFFFFF"/>
                  </a:solidFill>
                </a14:hiddenFill>
              </a:ext>
            </a:extLst>
          </xdr:spPr>
        </xdr:pic>
        <xdr:clientData/>
      </xdr:twoCellAnchor>
    </mc:Choice>
    <mc:Fallback/>
  </mc:AlternateContent>
  <xdr:twoCellAnchor>
    <xdr:from>
      <xdr:col>2</xdr:col>
      <xdr:colOff>99060</xdr:colOff>
      <xdr:row>6</xdr:row>
      <xdr:rowOff>15240</xdr:rowOff>
    </xdr:from>
    <xdr:to>
      <xdr:col>2</xdr:col>
      <xdr:colOff>350520</xdr:colOff>
      <xdr:row>7</xdr:row>
      <xdr:rowOff>99060</xdr:rowOff>
    </xdr:to>
    <xdr:sp macro="" textlink="">
      <xdr:nvSpPr>
        <xdr:cNvPr id="5" name="Arrow: Down 4">
          <a:extLst>
            <a:ext uri="{FF2B5EF4-FFF2-40B4-BE49-F238E27FC236}">
              <a16:creationId xmlns:a16="http://schemas.microsoft.com/office/drawing/2014/main" id="{F5DAC203-1589-16BA-4EBF-5E4D24BD4EE3}"/>
            </a:ext>
          </a:extLst>
        </xdr:cNvPr>
        <xdr:cNvSpPr/>
      </xdr:nvSpPr>
      <xdr:spPr>
        <a:xfrm>
          <a:off x="1318260" y="1539240"/>
          <a:ext cx="251460" cy="274320"/>
        </a:xfrm>
        <a:prstGeom prst="downArrow">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1173480</xdr:colOff>
      <xdr:row>6</xdr:row>
      <xdr:rowOff>15240</xdr:rowOff>
    </xdr:from>
    <xdr:to>
      <xdr:col>2</xdr:col>
      <xdr:colOff>1424940</xdr:colOff>
      <xdr:row>9</xdr:row>
      <xdr:rowOff>60960</xdr:rowOff>
    </xdr:to>
    <xdr:sp macro="" textlink="">
      <xdr:nvSpPr>
        <xdr:cNvPr id="6" name="Arrow: Down 5">
          <a:extLst>
            <a:ext uri="{FF2B5EF4-FFF2-40B4-BE49-F238E27FC236}">
              <a16:creationId xmlns:a16="http://schemas.microsoft.com/office/drawing/2014/main" id="{C037D112-D19A-4057-82FA-79024F485724}"/>
            </a:ext>
          </a:extLst>
        </xdr:cNvPr>
        <xdr:cNvSpPr/>
      </xdr:nvSpPr>
      <xdr:spPr>
        <a:xfrm>
          <a:off x="2392680" y="1539240"/>
          <a:ext cx="251460" cy="655320"/>
        </a:xfrm>
        <a:prstGeom prst="downArrow">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474214</xdr:colOff>
      <xdr:row>0</xdr:row>
      <xdr:rowOff>152400</xdr:rowOff>
    </xdr:from>
    <xdr:to>
      <xdr:col>2</xdr:col>
      <xdr:colOff>1066800</xdr:colOff>
      <xdr:row>1</xdr:row>
      <xdr:rowOff>304800</xdr:rowOff>
    </xdr:to>
    <xdr:pic>
      <xdr:nvPicPr>
        <xdr:cNvPr id="7" name="Picture 6">
          <a:extLst>
            <a:ext uri="{FF2B5EF4-FFF2-40B4-BE49-F238E27FC236}">
              <a16:creationId xmlns:a16="http://schemas.microsoft.com/office/drawing/2014/main" id="{9F581D5F-2172-42A6-A9D6-2F84FD6ECBF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693414" y="152400"/>
          <a:ext cx="592586" cy="33528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801.71432835648" createdVersion="8" refreshedVersion="8" minRefreshableVersion="3" recordCount="584" xr:uid="{C242B866-961F-42E9-86BC-3CD533B94A9C}">
  <cacheSource type="worksheet">
    <worksheetSource ref="A1:O585" sheet="diabetes Dataset"/>
  </cacheSource>
  <cacheFields count="15">
    <cacheField name="ID" numFmtId="0">
      <sharedItems containsSemiMixedTypes="0" containsString="0" containsNumber="1" containsInteger="1" minValue="1010" maxValue="9954"/>
    </cacheField>
    <cacheField name="Gender" numFmtId="0">
      <sharedItems count="2">
        <s v="Male"/>
        <s v="Female"/>
      </sharedItems>
    </cacheField>
    <cacheField name="Date" numFmtId="14">
      <sharedItems containsSemiMixedTypes="0" containsNonDate="0" containsDate="1" containsString="0" minDate="2021-01-01T00:00:00" maxDate="2024-12-31T00:00:00"/>
    </cacheField>
    <cacheField name="Month" numFmtId="14">
      <sharedItems count="12">
        <s v="Jul"/>
        <s v="Mar"/>
        <s v="Sep"/>
        <s v="Feb"/>
        <s v="Nov"/>
        <s v="Jun"/>
        <s v="Jan"/>
        <s v="Oct"/>
        <s v="Apr"/>
        <s v="Aug"/>
        <s v="Dec"/>
        <s v="May"/>
      </sharedItems>
    </cacheField>
    <cacheField name="Year" numFmtId="14">
      <sharedItems count="4">
        <s v="2024"/>
        <s v="2023"/>
        <s v="2021"/>
        <s v="2022"/>
      </sharedItems>
    </cacheField>
    <cacheField name="Glucose" numFmtId="0">
      <sharedItems containsSemiMixedTypes="0" containsString="0" containsNumber="1" containsInteger="1" minValue="44" maxValue="198"/>
    </cacheField>
    <cacheField name="BloodPressure" numFmtId="0">
      <sharedItems containsSemiMixedTypes="0" containsString="0" containsNumber="1" containsInteger="1" minValue="24" maxValue="122"/>
    </cacheField>
    <cacheField name="SkinThickness" numFmtId="0">
      <sharedItems containsSemiMixedTypes="0" containsString="0" containsNumber="1" containsInteger="1" minValue="4" maxValue="63"/>
    </cacheField>
    <cacheField name="Insulin" numFmtId="0">
      <sharedItems containsSemiMixedTypes="0" containsString="0" containsNumber="1" containsInteger="1" minValue="6" maxValue="846"/>
    </cacheField>
    <cacheField name="BMI" numFmtId="0">
      <sharedItems containsSemiMixedTypes="0" containsString="0" containsNumber="1" minValue="18.2" maxValue="67.099999999999994"/>
    </cacheField>
    <cacheField name="DiabetesPedigreeFunction" numFmtId="0">
      <sharedItems containsSemiMixedTypes="0" containsString="0" containsNumber="1" minValue="7.8E-2" maxValue="2.42"/>
    </cacheField>
    <cacheField name="Age" numFmtId="0">
      <sharedItems containsSemiMixedTypes="0" containsString="0" containsNumber="1" containsInteger="1" minValue="21" maxValue="81"/>
    </cacheField>
    <cacheField name="Outcome" numFmtId="0">
      <sharedItems containsSemiMixedTypes="0" containsString="0" containsNumber="1" containsInteger="1" minValue="0" maxValue="1"/>
    </cacheField>
    <cacheField name="Result" numFmtId="0">
      <sharedItems count="4">
        <s v="Diabetic"/>
        <s v="NoneDiabetic"/>
        <s v="Dibetic" u="1"/>
        <s v="Nonedibetic" u="1"/>
      </sharedItems>
    </cacheField>
    <cacheField name="Age Category" numFmtId="0">
      <sharedItems count="4">
        <s v="Young"/>
        <s v="Old"/>
        <s v="Middle-Aged"/>
        <s v="Very Old"/>
      </sharedItems>
    </cacheField>
  </cacheFields>
  <extLst>
    <ext xmlns:x14="http://schemas.microsoft.com/office/spreadsheetml/2009/9/main" uri="{725AE2AE-9491-48be-B2B4-4EB974FC3084}">
      <x14:pivotCacheDefinition pivotCacheId="160012364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84">
  <r>
    <n v="1453"/>
    <x v="0"/>
    <d v="2024-07-31T00:00:00"/>
    <x v="0"/>
    <x v="0"/>
    <n v="183"/>
    <n v="64"/>
    <n v="18"/>
    <n v="6"/>
    <n v="23.3"/>
    <n v="0.67200000000000004"/>
    <n v="32"/>
    <n v="1"/>
    <x v="0"/>
    <x v="0"/>
  </r>
  <r>
    <n v="1405"/>
    <x v="1"/>
    <d v="2023-07-08T00:00:00"/>
    <x v="0"/>
    <x v="1"/>
    <n v="89"/>
    <n v="66"/>
    <n v="23"/>
    <n v="94"/>
    <n v="28.1"/>
    <n v="0.16700000000000001"/>
    <n v="21"/>
    <n v="0"/>
    <x v="1"/>
    <x v="0"/>
  </r>
  <r>
    <n v="8737"/>
    <x v="0"/>
    <d v="2021-03-26T00:00:00"/>
    <x v="1"/>
    <x v="2"/>
    <n v="137"/>
    <n v="40"/>
    <n v="35"/>
    <n v="168"/>
    <n v="43.1"/>
    <n v="2.2879999999999998"/>
    <n v="33"/>
    <n v="1"/>
    <x v="0"/>
    <x v="0"/>
  </r>
  <r>
    <n v="2081"/>
    <x v="1"/>
    <d v="2021-09-06T00:00:00"/>
    <x v="2"/>
    <x v="2"/>
    <n v="116"/>
    <n v="74"/>
    <n v="18"/>
    <n v="6"/>
    <n v="25.6"/>
    <n v="0.20100000000000001"/>
    <n v="30"/>
    <n v="0"/>
    <x v="1"/>
    <x v="0"/>
  </r>
  <r>
    <n v="2108"/>
    <x v="1"/>
    <d v="2023-02-23T00:00:00"/>
    <x v="3"/>
    <x v="1"/>
    <n v="78"/>
    <n v="50"/>
    <n v="32"/>
    <n v="88"/>
    <n v="31"/>
    <n v="0.248"/>
    <n v="26"/>
    <n v="1"/>
    <x v="0"/>
    <x v="0"/>
  </r>
  <r>
    <n v="7435"/>
    <x v="0"/>
    <d v="2022-07-11T00:00:00"/>
    <x v="0"/>
    <x v="3"/>
    <n v="197"/>
    <n v="70"/>
    <n v="45"/>
    <n v="543"/>
    <n v="30.5"/>
    <n v="0.158"/>
    <n v="53"/>
    <n v="1"/>
    <x v="0"/>
    <x v="1"/>
  </r>
  <r>
    <n v="5661"/>
    <x v="0"/>
    <d v="2023-11-11T00:00:00"/>
    <x v="4"/>
    <x v="1"/>
    <n v="110"/>
    <n v="92"/>
    <n v="18"/>
    <n v="6"/>
    <n v="37.6"/>
    <n v="0.191"/>
    <n v="30"/>
    <n v="0"/>
    <x v="1"/>
    <x v="0"/>
  </r>
  <r>
    <n v="9378"/>
    <x v="0"/>
    <d v="2023-06-17T00:00:00"/>
    <x v="5"/>
    <x v="1"/>
    <n v="168"/>
    <n v="74"/>
    <n v="18"/>
    <n v="6"/>
    <n v="38"/>
    <n v="0.53700000000000003"/>
    <n v="34"/>
    <n v="1"/>
    <x v="0"/>
    <x v="0"/>
  </r>
  <r>
    <n v="2911"/>
    <x v="0"/>
    <d v="2022-01-04T00:00:00"/>
    <x v="6"/>
    <x v="3"/>
    <n v="139"/>
    <n v="80"/>
    <n v="18"/>
    <n v="6"/>
    <n v="27.1"/>
    <n v="1.4410000000000001"/>
    <n v="57"/>
    <n v="0"/>
    <x v="1"/>
    <x v="1"/>
  </r>
  <r>
    <n v="9508"/>
    <x v="1"/>
    <d v="2024-10-02T00:00:00"/>
    <x v="7"/>
    <x v="0"/>
    <n v="189"/>
    <n v="60"/>
    <n v="23"/>
    <n v="846"/>
    <n v="30.1"/>
    <n v="0.39800000000000002"/>
    <n v="59"/>
    <n v="1"/>
    <x v="0"/>
    <x v="1"/>
  </r>
  <r>
    <n v="4817"/>
    <x v="1"/>
    <d v="2024-06-02T00:00:00"/>
    <x v="5"/>
    <x v="0"/>
    <n v="166"/>
    <n v="72"/>
    <n v="19"/>
    <n v="175"/>
    <n v="25.8"/>
    <n v="0.58699999999999997"/>
    <n v="51"/>
    <n v="1"/>
    <x v="0"/>
    <x v="1"/>
  </r>
  <r>
    <n v="2126"/>
    <x v="0"/>
    <d v="2024-03-03T00:00:00"/>
    <x v="1"/>
    <x v="0"/>
    <n v="118"/>
    <n v="84"/>
    <n v="47"/>
    <n v="230"/>
    <n v="45.8"/>
    <n v="0.55100000000000005"/>
    <n v="31"/>
    <n v="1"/>
    <x v="0"/>
    <x v="0"/>
  </r>
  <r>
    <n v="7174"/>
    <x v="1"/>
    <d v="2024-06-22T00:00:00"/>
    <x v="5"/>
    <x v="0"/>
    <n v="107"/>
    <n v="74"/>
    <n v="18"/>
    <n v="6"/>
    <n v="29.6"/>
    <n v="0.254"/>
    <n v="31"/>
    <n v="1"/>
    <x v="0"/>
    <x v="0"/>
  </r>
  <r>
    <n v="7303"/>
    <x v="1"/>
    <d v="2022-04-16T00:00:00"/>
    <x v="8"/>
    <x v="3"/>
    <n v="103"/>
    <n v="30"/>
    <n v="38"/>
    <n v="83"/>
    <n v="43.3"/>
    <n v="0.183"/>
    <n v="33"/>
    <n v="0"/>
    <x v="1"/>
    <x v="0"/>
  </r>
  <r>
    <n v="8766"/>
    <x v="1"/>
    <d v="2022-04-17T00:00:00"/>
    <x v="8"/>
    <x v="3"/>
    <n v="115"/>
    <n v="70"/>
    <n v="30"/>
    <n v="96"/>
    <n v="34.6"/>
    <n v="0.52900000000000003"/>
    <n v="32"/>
    <n v="1"/>
    <x v="0"/>
    <x v="0"/>
  </r>
  <r>
    <n v="4153"/>
    <x v="1"/>
    <d v="2021-09-22T00:00:00"/>
    <x v="2"/>
    <x v="2"/>
    <n v="126"/>
    <n v="88"/>
    <n v="41"/>
    <n v="235"/>
    <n v="39.299999999999997"/>
    <n v="0.70399999999999996"/>
    <n v="27"/>
    <n v="0"/>
    <x v="1"/>
    <x v="0"/>
  </r>
  <r>
    <n v="9575"/>
    <x v="0"/>
    <d v="2021-06-16T00:00:00"/>
    <x v="5"/>
    <x v="2"/>
    <n v="99"/>
    <n v="84"/>
    <n v="18"/>
    <n v="6"/>
    <n v="35.4"/>
    <n v="0.38800000000000001"/>
    <n v="50"/>
    <n v="0"/>
    <x v="1"/>
    <x v="2"/>
  </r>
  <r>
    <n v="2602"/>
    <x v="1"/>
    <d v="2023-08-20T00:00:00"/>
    <x v="9"/>
    <x v="1"/>
    <n v="196"/>
    <n v="90"/>
    <n v="18"/>
    <n v="6"/>
    <n v="39.799999999999997"/>
    <n v="0.45100000000000001"/>
    <n v="41"/>
    <n v="1"/>
    <x v="0"/>
    <x v="2"/>
  </r>
  <r>
    <n v="5260"/>
    <x v="1"/>
    <d v="2021-03-31T00:00:00"/>
    <x v="1"/>
    <x v="2"/>
    <n v="143"/>
    <n v="94"/>
    <n v="33"/>
    <n v="146"/>
    <n v="36.6"/>
    <n v="0.254"/>
    <n v="51"/>
    <n v="1"/>
    <x v="0"/>
    <x v="1"/>
  </r>
  <r>
    <n v="2439"/>
    <x v="0"/>
    <d v="2024-09-01T00:00:00"/>
    <x v="2"/>
    <x v="0"/>
    <n v="125"/>
    <n v="70"/>
    <n v="26"/>
    <n v="115"/>
    <n v="31.1"/>
    <n v="0.20499999999999999"/>
    <n v="41"/>
    <n v="1"/>
    <x v="0"/>
    <x v="2"/>
  </r>
  <r>
    <n v="7432"/>
    <x v="1"/>
    <d v="2024-01-09T00:00:00"/>
    <x v="6"/>
    <x v="0"/>
    <n v="147"/>
    <n v="76"/>
    <n v="18"/>
    <n v="6"/>
    <n v="39.4"/>
    <n v="0.25700000000000001"/>
    <n v="43"/>
    <n v="1"/>
    <x v="0"/>
    <x v="2"/>
  </r>
  <r>
    <n v="5944"/>
    <x v="1"/>
    <d v="2024-09-08T00:00:00"/>
    <x v="2"/>
    <x v="0"/>
    <n v="97"/>
    <n v="66"/>
    <n v="15"/>
    <n v="140"/>
    <n v="23.2"/>
    <n v="0.48699999999999999"/>
    <n v="22"/>
    <n v="0"/>
    <x v="1"/>
    <x v="0"/>
  </r>
  <r>
    <n v="6505"/>
    <x v="1"/>
    <d v="2021-03-28T00:00:00"/>
    <x v="1"/>
    <x v="2"/>
    <n v="145"/>
    <n v="82"/>
    <n v="19"/>
    <n v="110"/>
    <n v="22.2"/>
    <n v="0.245"/>
    <n v="57"/>
    <n v="0"/>
    <x v="1"/>
    <x v="1"/>
  </r>
  <r>
    <n v="9259"/>
    <x v="1"/>
    <d v="2021-02-23T00:00:00"/>
    <x v="3"/>
    <x v="2"/>
    <n v="117"/>
    <n v="92"/>
    <n v="18"/>
    <n v="6"/>
    <n v="34.1"/>
    <n v="0.33700000000000002"/>
    <n v="38"/>
    <n v="0"/>
    <x v="1"/>
    <x v="2"/>
  </r>
  <r>
    <n v="7145"/>
    <x v="1"/>
    <d v="2022-09-28T00:00:00"/>
    <x v="2"/>
    <x v="3"/>
    <n v="158"/>
    <n v="76"/>
    <n v="36"/>
    <n v="245"/>
    <n v="31.6"/>
    <n v="0.85099999999999998"/>
    <n v="28"/>
    <n v="1"/>
    <x v="0"/>
    <x v="0"/>
  </r>
  <r>
    <n v="8231"/>
    <x v="1"/>
    <d v="2021-06-26T00:00:00"/>
    <x v="5"/>
    <x v="2"/>
    <n v="88"/>
    <n v="58"/>
    <n v="11"/>
    <n v="54"/>
    <n v="24.8"/>
    <n v="0.26700000000000002"/>
    <n v="22"/>
    <n v="0"/>
    <x v="1"/>
    <x v="0"/>
  </r>
  <r>
    <n v="5156"/>
    <x v="0"/>
    <d v="2022-06-10T00:00:00"/>
    <x v="5"/>
    <x v="3"/>
    <n v="92"/>
    <n v="92"/>
    <n v="18"/>
    <n v="6"/>
    <n v="19.899999999999999"/>
    <n v="0.188"/>
    <n v="28"/>
    <n v="0"/>
    <x v="1"/>
    <x v="0"/>
  </r>
  <r>
    <n v="2491"/>
    <x v="0"/>
    <d v="2021-03-23T00:00:00"/>
    <x v="1"/>
    <x v="2"/>
    <n v="103"/>
    <n v="60"/>
    <n v="33"/>
    <n v="192"/>
    <n v="24"/>
    <n v="0.96599999999999997"/>
    <n v="33"/>
    <n v="0"/>
    <x v="1"/>
    <x v="0"/>
  </r>
  <r>
    <n v="5386"/>
    <x v="1"/>
    <d v="2024-08-16T00:00:00"/>
    <x v="9"/>
    <x v="0"/>
    <n v="138"/>
    <n v="76"/>
    <n v="18"/>
    <n v="6"/>
    <n v="33.200000000000003"/>
    <n v="0.42"/>
    <n v="35"/>
    <n v="0"/>
    <x v="1"/>
    <x v="0"/>
  </r>
  <r>
    <n v="5232"/>
    <x v="0"/>
    <d v="2021-03-26T00:00:00"/>
    <x v="1"/>
    <x v="2"/>
    <n v="111"/>
    <n v="72"/>
    <n v="47"/>
    <n v="207"/>
    <n v="37.1"/>
    <n v="1.39"/>
    <n v="56"/>
    <n v="1"/>
    <x v="0"/>
    <x v="1"/>
  </r>
  <r>
    <n v="7836"/>
    <x v="1"/>
    <d v="2024-12-16T00:00:00"/>
    <x v="10"/>
    <x v="0"/>
    <n v="180"/>
    <n v="64"/>
    <n v="25"/>
    <n v="70"/>
    <n v="34"/>
    <n v="0.27100000000000002"/>
    <n v="26"/>
    <n v="0"/>
    <x v="1"/>
    <x v="0"/>
  </r>
  <r>
    <n v="7752"/>
    <x v="1"/>
    <d v="2021-05-15T00:00:00"/>
    <x v="11"/>
    <x v="2"/>
    <n v="133"/>
    <n v="84"/>
    <n v="18"/>
    <n v="6"/>
    <n v="40.200000000000003"/>
    <n v="0.69599999999999995"/>
    <n v="37"/>
    <n v="0"/>
    <x v="1"/>
    <x v="2"/>
  </r>
  <r>
    <n v="1426"/>
    <x v="1"/>
    <d v="2024-03-06T00:00:00"/>
    <x v="1"/>
    <x v="0"/>
    <n v="171"/>
    <n v="110"/>
    <n v="24"/>
    <n v="240"/>
    <n v="45.4"/>
    <n v="0.72099999999999997"/>
    <n v="54"/>
    <n v="1"/>
    <x v="0"/>
    <x v="1"/>
  </r>
  <r>
    <n v="2864"/>
    <x v="1"/>
    <d v="2022-07-07T00:00:00"/>
    <x v="0"/>
    <x v="3"/>
    <n v="159"/>
    <n v="64"/>
    <n v="18"/>
    <n v="6"/>
    <n v="27.4"/>
    <n v="0.29399999999999998"/>
    <n v="40"/>
    <n v="0"/>
    <x v="1"/>
    <x v="2"/>
  </r>
  <r>
    <n v="1042"/>
    <x v="1"/>
    <d v="2023-06-22T00:00:00"/>
    <x v="5"/>
    <x v="1"/>
    <n v="146"/>
    <n v="56"/>
    <n v="18"/>
    <n v="6"/>
    <n v="29.7"/>
    <n v="0.56399999999999995"/>
    <n v="29"/>
    <n v="0"/>
    <x v="1"/>
    <x v="0"/>
  </r>
  <r>
    <n v="1380"/>
    <x v="1"/>
    <d v="2023-01-23T00:00:00"/>
    <x v="6"/>
    <x v="1"/>
    <n v="103"/>
    <n v="80"/>
    <n v="11"/>
    <n v="82"/>
    <n v="19.399999999999999"/>
    <n v="0.49099999999999999"/>
    <n v="22"/>
    <n v="0"/>
    <x v="1"/>
    <x v="0"/>
  </r>
  <r>
    <n v="9208"/>
    <x v="1"/>
    <d v="2022-07-26T00:00:00"/>
    <x v="0"/>
    <x v="3"/>
    <n v="101"/>
    <n v="50"/>
    <n v="15"/>
    <n v="36"/>
    <n v="24.2"/>
    <n v="0.52600000000000002"/>
    <n v="26"/>
    <n v="0"/>
    <x v="1"/>
    <x v="0"/>
  </r>
  <r>
    <n v="1901"/>
    <x v="1"/>
    <d v="2021-12-03T00:00:00"/>
    <x v="10"/>
    <x v="2"/>
    <n v="88"/>
    <n v="66"/>
    <n v="21"/>
    <n v="23"/>
    <n v="24.4"/>
    <n v="0.34200000000000003"/>
    <n v="30"/>
    <n v="0"/>
    <x v="1"/>
    <x v="0"/>
  </r>
  <r>
    <n v="7413"/>
    <x v="0"/>
    <d v="2022-09-22T00:00:00"/>
    <x v="2"/>
    <x v="3"/>
    <n v="176"/>
    <n v="90"/>
    <n v="34"/>
    <n v="300"/>
    <n v="33.700000000000003"/>
    <n v="0.46700000000000003"/>
    <n v="58"/>
    <n v="1"/>
    <x v="0"/>
    <x v="1"/>
  </r>
  <r>
    <n v="7939"/>
    <x v="1"/>
    <d v="2023-09-24T00:00:00"/>
    <x v="2"/>
    <x v="1"/>
    <n v="150"/>
    <n v="66"/>
    <n v="42"/>
    <n v="342"/>
    <n v="34.700000000000003"/>
    <n v="0.71799999999999997"/>
    <n v="42"/>
    <n v="0"/>
    <x v="1"/>
    <x v="2"/>
  </r>
  <r>
    <n v="1667"/>
    <x v="1"/>
    <d v="2022-04-10T00:00:00"/>
    <x v="8"/>
    <x v="3"/>
    <n v="187"/>
    <n v="68"/>
    <n v="39"/>
    <n v="304"/>
    <n v="37.700000000000003"/>
    <n v="0.254"/>
    <n v="41"/>
    <n v="1"/>
    <x v="0"/>
    <x v="2"/>
  </r>
  <r>
    <n v="1610"/>
    <x v="0"/>
    <d v="2023-08-22T00:00:00"/>
    <x v="9"/>
    <x v="1"/>
    <n v="100"/>
    <n v="88"/>
    <n v="60"/>
    <n v="110"/>
    <n v="46.8"/>
    <n v="0.96199999999999997"/>
    <n v="31"/>
    <n v="0"/>
    <x v="1"/>
    <x v="0"/>
  </r>
  <r>
    <n v="9269"/>
    <x v="0"/>
    <d v="2022-12-02T00:00:00"/>
    <x v="10"/>
    <x v="3"/>
    <n v="146"/>
    <n v="82"/>
    <n v="15"/>
    <n v="6"/>
    <n v="40.5"/>
    <n v="1.7809999999999999"/>
    <n v="44"/>
    <n v="0"/>
    <x v="1"/>
    <x v="2"/>
  </r>
  <r>
    <n v="3993"/>
    <x v="0"/>
    <d v="2022-03-13T00:00:00"/>
    <x v="1"/>
    <x v="3"/>
    <n v="105"/>
    <n v="64"/>
    <n v="41"/>
    <n v="142"/>
    <n v="41.5"/>
    <n v="0.17299999999999999"/>
    <n v="22"/>
    <n v="0"/>
    <x v="1"/>
    <x v="0"/>
  </r>
  <r>
    <n v="5190"/>
    <x v="0"/>
    <d v="2021-04-01T00:00:00"/>
    <x v="8"/>
    <x v="2"/>
    <n v="133"/>
    <n v="72"/>
    <n v="15"/>
    <n v="16"/>
    <n v="32.9"/>
    <n v="0.27"/>
    <n v="39"/>
    <n v="1"/>
    <x v="0"/>
    <x v="2"/>
  </r>
  <r>
    <n v="4304"/>
    <x v="1"/>
    <d v="2022-11-17T00:00:00"/>
    <x v="4"/>
    <x v="3"/>
    <n v="44"/>
    <n v="62"/>
    <n v="15"/>
    <n v="16"/>
    <n v="25"/>
    <n v="0.58699999999999997"/>
    <n v="36"/>
    <n v="0"/>
    <x v="1"/>
    <x v="2"/>
  </r>
  <r>
    <n v="9022"/>
    <x v="0"/>
    <d v="2021-04-29T00:00:00"/>
    <x v="8"/>
    <x v="2"/>
    <n v="141"/>
    <n v="58"/>
    <n v="34"/>
    <n v="128"/>
    <n v="25.4"/>
    <n v="0.69899999999999995"/>
    <n v="24"/>
    <n v="0"/>
    <x v="1"/>
    <x v="0"/>
  </r>
  <r>
    <n v="1683"/>
    <x v="1"/>
    <d v="2024-12-08T00:00:00"/>
    <x v="10"/>
    <x v="0"/>
    <n v="114"/>
    <n v="66"/>
    <n v="15"/>
    <n v="16"/>
    <n v="32.799999999999997"/>
    <n v="0.25800000000000001"/>
    <n v="42"/>
    <n v="1"/>
    <x v="0"/>
    <x v="2"/>
  </r>
  <r>
    <n v="5748"/>
    <x v="0"/>
    <d v="2021-11-10T00:00:00"/>
    <x v="4"/>
    <x v="2"/>
    <n v="109"/>
    <n v="92"/>
    <n v="15"/>
    <n v="16"/>
    <n v="42.7"/>
    <n v="0.84499999999999997"/>
    <n v="54"/>
    <n v="0"/>
    <x v="1"/>
    <x v="1"/>
  </r>
  <r>
    <n v="6220"/>
    <x v="1"/>
    <d v="2024-08-22T00:00:00"/>
    <x v="9"/>
    <x v="0"/>
    <n v="95"/>
    <n v="66"/>
    <n v="13"/>
    <n v="38"/>
    <n v="19.600000000000001"/>
    <n v="0.33400000000000002"/>
    <n v="25"/>
    <n v="0"/>
    <x v="1"/>
    <x v="0"/>
  </r>
  <r>
    <n v="6277"/>
    <x v="0"/>
    <d v="2024-06-01T00:00:00"/>
    <x v="5"/>
    <x v="0"/>
    <n v="146"/>
    <n v="85"/>
    <n v="27"/>
    <n v="100"/>
    <n v="28.9"/>
    <n v="0.189"/>
    <n v="27"/>
    <n v="0"/>
    <x v="1"/>
    <x v="0"/>
  </r>
  <r>
    <n v="7621"/>
    <x v="0"/>
    <d v="2023-06-18T00:00:00"/>
    <x v="5"/>
    <x v="1"/>
    <n v="100"/>
    <n v="66"/>
    <n v="20"/>
    <n v="90"/>
    <n v="32.9"/>
    <n v="0.86699999999999999"/>
    <n v="28"/>
    <n v="1"/>
    <x v="0"/>
    <x v="0"/>
  </r>
  <r>
    <n v="3860"/>
    <x v="1"/>
    <d v="2024-02-28T00:00:00"/>
    <x v="3"/>
    <x v="0"/>
    <n v="139"/>
    <n v="64"/>
    <n v="35"/>
    <n v="140"/>
    <n v="28.6"/>
    <n v="0.41099999999999998"/>
    <n v="26"/>
    <n v="0"/>
    <x v="1"/>
    <x v="0"/>
  </r>
  <r>
    <n v="3128"/>
    <x v="1"/>
    <d v="2023-02-19T00:00:00"/>
    <x v="3"/>
    <x v="1"/>
    <n v="126"/>
    <n v="90"/>
    <n v="15"/>
    <n v="16"/>
    <n v="43.4"/>
    <n v="0.58299999999999996"/>
    <n v="42"/>
    <n v="1"/>
    <x v="0"/>
    <x v="2"/>
  </r>
  <r>
    <n v="3368"/>
    <x v="0"/>
    <d v="2022-02-19T00:00:00"/>
    <x v="3"/>
    <x v="3"/>
    <n v="129"/>
    <n v="86"/>
    <n v="20"/>
    <n v="270"/>
    <n v="35.1"/>
    <n v="0.23100000000000001"/>
    <n v="23"/>
    <n v="0"/>
    <x v="1"/>
    <x v="0"/>
  </r>
  <r>
    <n v="9897"/>
    <x v="1"/>
    <d v="2024-12-03T00:00:00"/>
    <x v="10"/>
    <x v="0"/>
    <n v="62"/>
    <n v="78"/>
    <n v="15"/>
    <n v="16"/>
    <n v="32.6"/>
    <n v="0.39100000000000001"/>
    <n v="41"/>
    <n v="0"/>
    <x v="1"/>
    <x v="2"/>
  </r>
  <r>
    <n v="9827"/>
    <x v="1"/>
    <d v="2022-09-05T00:00:00"/>
    <x v="2"/>
    <x v="3"/>
    <n v="83"/>
    <n v="78"/>
    <n v="26"/>
    <n v="71"/>
    <n v="29.3"/>
    <n v="0.76700000000000002"/>
    <n v="36"/>
    <n v="0"/>
    <x v="1"/>
    <x v="2"/>
  </r>
  <r>
    <n v="8723"/>
    <x v="1"/>
    <d v="2022-04-17T00:00:00"/>
    <x v="8"/>
    <x v="3"/>
    <n v="137"/>
    <n v="108"/>
    <n v="25"/>
    <n v="16"/>
    <n v="48.8"/>
    <n v="0.22700000000000001"/>
    <n v="37"/>
    <n v="1"/>
    <x v="0"/>
    <x v="2"/>
  </r>
  <r>
    <n v="1845"/>
    <x v="0"/>
    <d v="2021-07-03T00:00:00"/>
    <x v="0"/>
    <x v="2"/>
    <n v="110"/>
    <n v="74"/>
    <n v="29"/>
    <n v="125"/>
    <n v="32.4"/>
    <n v="0.69799999999999995"/>
    <n v="27"/>
    <n v="0"/>
    <x v="1"/>
    <x v="0"/>
  </r>
  <r>
    <n v="3919"/>
    <x v="0"/>
    <d v="2021-07-20T00:00:00"/>
    <x v="0"/>
    <x v="2"/>
    <n v="100"/>
    <n v="68"/>
    <n v="25"/>
    <n v="71"/>
    <n v="38.5"/>
    <n v="0.32400000000000001"/>
    <n v="26"/>
    <n v="0"/>
    <x v="1"/>
    <x v="0"/>
  </r>
  <r>
    <n v="3824"/>
    <x v="1"/>
    <d v="2023-08-27T00:00:00"/>
    <x v="9"/>
    <x v="1"/>
    <n v="136"/>
    <n v="70"/>
    <n v="32"/>
    <n v="110"/>
    <n v="37.1"/>
    <n v="0.153"/>
    <n v="43"/>
    <n v="1"/>
    <x v="0"/>
    <x v="2"/>
  </r>
  <r>
    <n v="5450"/>
    <x v="1"/>
    <d v="2024-12-30T00:00:00"/>
    <x v="10"/>
    <x v="0"/>
    <n v="80"/>
    <n v="55"/>
    <n v="25"/>
    <n v="16"/>
    <n v="19.100000000000001"/>
    <n v="0.25800000000000001"/>
    <n v="21"/>
    <n v="0"/>
    <x v="1"/>
    <x v="0"/>
  </r>
  <r>
    <n v="8199"/>
    <x v="0"/>
    <d v="2024-05-03T00:00:00"/>
    <x v="11"/>
    <x v="0"/>
    <n v="123"/>
    <n v="80"/>
    <n v="15"/>
    <n v="176"/>
    <n v="32"/>
    <n v="0.443"/>
    <n v="34"/>
    <n v="0"/>
    <x v="1"/>
    <x v="0"/>
  </r>
  <r>
    <n v="5020"/>
    <x v="1"/>
    <d v="2023-11-21T00:00:00"/>
    <x v="4"/>
    <x v="1"/>
    <n v="81"/>
    <n v="78"/>
    <n v="40"/>
    <n v="48"/>
    <n v="46.7"/>
    <n v="0.26100000000000001"/>
    <n v="42"/>
    <n v="0"/>
    <x v="1"/>
    <x v="2"/>
  </r>
  <r>
    <n v="1259"/>
    <x v="0"/>
    <d v="2022-01-19T00:00:00"/>
    <x v="6"/>
    <x v="3"/>
    <n v="134"/>
    <n v="72"/>
    <n v="25"/>
    <n v="16"/>
    <n v="23.8"/>
    <n v="0.27700000000000002"/>
    <n v="60"/>
    <n v="1"/>
    <x v="0"/>
    <x v="1"/>
  </r>
  <r>
    <n v="6015"/>
    <x v="0"/>
    <d v="2021-10-23T00:00:00"/>
    <x v="7"/>
    <x v="2"/>
    <n v="142"/>
    <n v="82"/>
    <n v="18"/>
    <n v="64"/>
    <n v="24.7"/>
    <n v="0.76100000000000001"/>
    <n v="21"/>
    <n v="0"/>
    <x v="1"/>
    <x v="0"/>
  </r>
  <r>
    <n v="8845"/>
    <x v="0"/>
    <d v="2021-03-04T00:00:00"/>
    <x v="1"/>
    <x v="2"/>
    <n v="144"/>
    <n v="72"/>
    <n v="27"/>
    <n v="228"/>
    <n v="33.9"/>
    <n v="0.255"/>
    <n v="40"/>
    <n v="0"/>
    <x v="1"/>
    <x v="2"/>
  </r>
  <r>
    <n v="2336"/>
    <x v="1"/>
    <d v="2022-06-14T00:00:00"/>
    <x v="5"/>
    <x v="3"/>
    <n v="71"/>
    <n v="48"/>
    <n v="18"/>
    <n v="76"/>
    <n v="20.399999999999999"/>
    <n v="0.32300000000000001"/>
    <n v="22"/>
    <n v="0"/>
    <x v="1"/>
    <x v="0"/>
  </r>
  <r>
    <n v="1010"/>
    <x v="0"/>
    <d v="2024-10-02T00:00:00"/>
    <x v="7"/>
    <x v="0"/>
    <n v="93"/>
    <n v="50"/>
    <n v="30"/>
    <n v="64"/>
    <n v="28.7"/>
    <n v="0.35599999999999998"/>
    <n v="23"/>
    <n v="0"/>
    <x v="1"/>
    <x v="0"/>
  </r>
  <r>
    <n v="1086"/>
    <x v="1"/>
    <d v="2023-12-18T00:00:00"/>
    <x v="10"/>
    <x v="1"/>
    <n v="122"/>
    <n v="90"/>
    <n v="51"/>
    <n v="220"/>
    <n v="49.7"/>
    <n v="0.32500000000000001"/>
    <n v="31"/>
    <n v="1"/>
    <x v="0"/>
    <x v="0"/>
  </r>
  <r>
    <n v="2554"/>
    <x v="1"/>
    <d v="2022-03-07T00:00:00"/>
    <x v="1"/>
    <x v="3"/>
    <n v="163"/>
    <n v="72"/>
    <n v="25"/>
    <n v="16"/>
    <n v="39"/>
    <n v="1.222"/>
    <n v="33"/>
    <n v="1"/>
    <x v="0"/>
    <x v="0"/>
  </r>
  <r>
    <n v="3810"/>
    <x v="1"/>
    <d v="2021-07-18T00:00:00"/>
    <x v="0"/>
    <x v="2"/>
    <n v="151"/>
    <n v="60"/>
    <n v="25"/>
    <n v="16"/>
    <n v="26.1"/>
    <n v="0.17899999999999999"/>
    <n v="22"/>
    <n v="0"/>
    <x v="1"/>
    <x v="0"/>
  </r>
  <r>
    <n v="5285"/>
    <x v="0"/>
    <d v="2024-07-30T00:00:00"/>
    <x v="0"/>
    <x v="0"/>
    <n v="125"/>
    <n v="96"/>
    <n v="25"/>
    <n v="16"/>
    <n v="22.5"/>
    <n v="0.26200000000000001"/>
    <n v="21"/>
    <n v="0"/>
    <x v="1"/>
    <x v="0"/>
  </r>
  <r>
    <n v="1604"/>
    <x v="1"/>
    <d v="2022-10-21T00:00:00"/>
    <x v="7"/>
    <x v="3"/>
    <n v="81"/>
    <n v="72"/>
    <n v="18"/>
    <n v="40"/>
    <n v="26.6"/>
    <n v="0.28299999999999997"/>
    <n v="24"/>
    <n v="0"/>
    <x v="1"/>
    <x v="0"/>
  </r>
  <r>
    <n v="7883"/>
    <x v="0"/>
    <d v="2021-10-21T00:00:00"/>
    <x v="7"/>
    <x v="2"/>
    <n v="85"/>
    <n v="65"/>
    <n v="25"/>
    <n v="16"/>
    <n v="39.6"/>
    <n v="0.93"/>
    <n v="27"/>
    <n v="0"/>
    <x v="1"/>
    <x v="0"/>
  </r>
  <r>
    <n v="7320"/>
    <x v="1"/>
    <d v="2023-05-31T00:00:00"/>
    <x v="11"/>
    <x v="1"/>
    <n v="126"/>
    <n v="56"/>
    <n v="29"/>
    <n v="152"/>
    <n v="28.7"/>
    <n v="0.80100000000000005"/>
    <n v="21"/>
    <n v="0"/>
    <x v="1"/>
    <x v="0"/>
  </r>
  <r>
    <n v="1141"/>
    <x v="1"/>
    <d v="2022-10-11T00:00:00"/>
    <x v="7"/>
    <x v="3"/>
    <n v="96"/>
    <n v="122"/>
    <n v="25"/>
    <n v="16"/>
    <n v="22.4"/>
    <n v="0.20699999999999999"/>
    <n v="27"/>
    <n v="0"/>
    <x v="1"/>
    <x v="0"/>
  </r>
  <r>
    <n v="7775"/>
    <x v="0"/>
    <d v="2024-08-21T00:00:00"/>
    <x v="9"/>
    <x v="0"/>
    <n v="144"/>
    <n v="58"/>
    <n v="28"/>
    <n v="140"/>
    <n v="29.5"/>
    <n v="0.28699999999999998"/>
    <n v="37"/>
    <n v="0"/>
    <x v="1"/>
    <x v="2"/>
  </r>
  <r>
    <n v="6107"/>
    <x v="1"/>
    <d v="2023-09-08T00:00:00"/>
    <x v="2"/>
    <x v="1"/>
    <n v="83"/>
    <n v="58"/>
    <n v="31"/>
    <n v="18"/>
    <n v="34.299999999999997"/>
    <n v="0.33600000000000002"/>
    <n v="25"/>
    <n v="0"/>
    <x v="1"/>
    <x v="0"/>
  </r>
  <r>
    <n v="2989"/>
    <x v="0"/>
    <d v="2023-04-25T00:00:00"/>
    <x v="8"/>
    <x v="1"/>
    <n v="95"/>
    <n v="85"/>
    <n v="25"/>
    <n v="36"/>
    <n v="37.4"/>
    <n v="0.247"/>
    <n v="24"/>
    <n v="1"/>
    <x v="0"/>
    <x v="0"/>
  </r>
  <r>
    <n v="7121"/>
    <x v="1"/>
    <d v="2022-08-03T00:00:00"/>
    <x v="9"/>
    <x v="3"/>
    <n v="171"/>
    <n v="72"/>
    <n v="33"/>
    <n v="135"/>
    <n v="33.299999999999997"/>
    <n v="0.19900000000000001"/>
    <n v="24"/>
    <n v="1"/>
    <x v="0"/>
    <x v="0"/>
  </r>
  <r>
    <n v="5434"/>
    <x v="0"/>
    <d v="2022-02-07T00:00:00"/>
    <x v="3"/>
    <x v="3"/>
    <n v="155"/>
    <n v="62"/>
    <n v="26"/>
    <n v="495"/>
    <n v="34"/>
    <n v="0.54300000000000004"/>
    <n v="46"/>
    <n v="1"/>
    <x v="0"/>
    <x v="2"/>
  </r>
  <r>
    <n v="1724"/>
    <x v="1"/>
    <d v="2023-06-06T00:00:00"/>
    <x v="5"/>
    <x v="1"/>
    <n v="89"/>
    <n v="76"/>
    <n v="34"/>
    <n v="37"/>
    <n v="31.2"/>
    <n v="0.192"/>
    <n v="23"/>
    <n v="0"/>
    <x v="1"/>
    <x v="0"/>
  </r>
  <r>
    <n v="9239"/>
    <x v="0"/>
    <d v="2023-07-02T00:00:00"/>
    <x v="0"/>
    <x v="1"/>
    <n v="76"/>
    <n v="62"/>
    <n v="25"/>
    <n v="16"/>
    <n v="34"/>
    <n v="0.39100000000000001"/>
    <n v="25"/>
    <n v="0"/>
    <x v="1"/>
    <x v="0"/>
  </r>
  <r>
    <n v="7682"/>
    <x v="1"/>
    <d v="2023-07-20T00:00:00"/>
    <x v="0"/>
    <x v="1"/>
    <n v="160"/>
    <n v="54"/>
    <n v="32"/>
    <n v="175"/>
    <n v="30.5"/>
    <n v="0.58799999999999997"/>
    <n v="39"/>
    <n v="1"/>
    <x v="0"/>
    <x v="2"/>
  </r>
  <r>
    <n v="9304"/>
    <x v="0"/>
    <d v="2022-12-12T00:00:00"/>
    <x v="10"/>
    <x v="3"/>
    <n v="146"/>
    <n v="92"/>
    <n v="25"/>
    <n v="16"/>
    <n v="31.2"/>
    <n v="0.53900000000000003"/>
    <n v="61"/>
    <n v="1"/>
    <x v="0"/>
    <x v="1"/>
  </r>
  <r>
    <n v="7153"/>
    <x v="1"/>
    <d v="2024-10-17T00:00:00"/>
    <x v="7"/>
    <x v="0"/>
    <n v="124"/>
    <n v="74"/>
    <n v="25"/>
    <n v="16"/>
    <n v="34"/>
    <n v="0.22"/>
    <n v="38"/>
    <n v="1"/>
    <x v="0"/>
    <x v="2"/>
  </r>
  <r>
    <n v="3992"/>
    <x v="1"/>
    <d v="2024-10-26T00:00:00"/>
    <x v="7"/>
    <x v="0"/>
    <n v="78"/>
    <n v="48"/>
    <n v="25"/>
    <n v="16"/>
    <n v="33.700000000000003"/>
    <n v="0.65400000000000003"/>
    <n v="25"/>
    <n v="0"/>
    <x v="1"/>
    <x v="0"/>
  </r>
  <r>
    <n v="5584"/>
    <x v="0"/>
    <d v="2024-11-14T00:00:00"/>
    <x v="4"/>
    <x v="0"/>
    <n v="99"/>
    <n v="76"/>
    <n v="15"/>
    <n v="51"/>
    <n v="23.2"/>
    <n v="0.223"/>
    <n v="21"/>
    <n v="0"/>
    <x v="1"/>
    <x v="0"/>
  </r>
  <r>
    <n v="2133"/>
    <x v="0"/>
    <d v="2023-12-18T00:00:00"/>
    <x v="10"/>
    <x v="1"/>
    <n v="162"/>
    <n v="76"/>
    <n v="56"/>
    <n v="100"/>
    <n v="53.2"/>
    <n v="0.75900000000000001"/>
    <n v="25"/>
    <n v="1"/>
    <x v="0"/>
    <x v="0"/>
  </r>
  <r>
    <n v="2369"/>
    <x v="0"/>
    <d v="2023-12-10T00:00:00"/>
    <x v="10"/>
    <x v="1"/>
    <n v="107"/>
    <n v="74"/>
    <n v="30"/>
    <n v="100"/>
    <n v="33.6"/>
    <n v="0.40400000000000003"/>
    <n v="23"/>
    <n v="0"/>
    <x v="1"/>
    <x v="0"/>
  </r>
  <r>
    <n v="3682"/>
    <x v="1"/>
    <d v="2022-08-25T00:00:00"/>
    <x v="9"/>
    <x v="3"/>
    <n v="132"/>
    <n v="80"/>
    <n v="17"/>
    <n v="16"/>
    <n v="26.8"/>
    <n v="0.186"/>
    <n v="69"/>
    <n v="0"/>
    <x v="1"/>
    <x v="3"/>
  </r>
  <r>
    <n v="4648"/>
    <x v="0"/>
    <d v="2022-01-26T00:00:00"/>
    <x v="6"/>
    <x v="3"/>
    <n v="113"/>
    <n v="76"/>
    <n v="17"/>
    <n v="12"/>
    <n v="33.299999999999997"/>
    <n v="0.27800000000000002"/>
    <n v="23"/>
    <n v="1"/>
    <x v="0"/>
    <x v="0"/>
  </r>
  <r>
    <n v="8229"/>
    <x v="1"/>
    <d v="2021-12-11T00:00:00"/>
    <x v="10"/>
    <x v="2"/>
    <n v="88"/>
    <n v="30"/>
    <n v="42"/>
    <n v="99"/>
    <n v="55"/>
    <n v="0.496"/>
    <n v="26"/>
    <n v="1"/>
    <x v="0"/>
    <x v="0"/>
  </r>
  <r>
    <n v="9581"/>
    <x v="1"/>
    <d v="2022-06-21T00:00:00"/>
    <x v="5"/>
    <x v="3"/>
    <n v="120"/>
    <n v="70"/>
    <n v="30"/>
    <n v="135"/>
    <n v="42.9"/>
    <n v="0.45200000000000001"/>
    <n v="30"/>
    <n v="0"/>
    <x v="1"/>
    <x v="0"/>
  </r>
  <r>
    <n v="8464"/>
    <x v="1"/>
    <d v="2021-11-23T00:00:00"/>
    <x v="4"/>
    <x v="2"/>
    <n v="118"/>
    <n v="58"/>
    <n v="36"/>
    <n v="94"/>
    <n v="33.299999999999997"/>
    <n v="0.26100000000000001"/>
    <n v="23"/>
    <n v="0"/>
    <x v="1"/>
    <x v="0"/>
  </r>
  <r>
    <n v="3059"/>
    <x v="1"/>
    <d v="2024-05-10T00:00:00"/>
    <x v="11"/>
    <x v="0"/>
    <n v="117"/>
    <n v="88"/>
    <n v="24"/>
    <n v="145"/>
    <n v="34.5"/>
    <n v="0.40300000000000002"/>
    <n v="40"/>
    <n v="1"/>
    <x v="0"/>
    <x v="2"/>
  </r>
  <r>
    <n v="7973"/>
    <x v="0"/>
    <d v="2022-12-07T00:00:00"/>
    <x v="10"/>
    <x v="3"/>
    <n v="105"/>
    <n v="84"/>
    <n v="17"/>
    <n v="12"/>
    <n v="27.9"/>
    <n v="0.74099999999999999"/>
    <n v="62"/>
    <n v="1"/>
    <x v="0"/>
    <x v="1"/>
  </r>
  <r>
    <n v="8065"/>
    <x v="0"/>
    <d v="2023-07-12T00:00:00"/>
    <x v="0"/>
    <x v="1"/>
    <n v="173"/>
    <n v="70"/>
    <n v="14"/>
    <n v="168"/>
    <n v="29.7"/>
    <n v="0.36099999999999999"/>
    <n v="33"/>
    <n v="1"/>
    <x v="0"/>
    <x v="0"/>
  </r>
  <r>
    <n v="8821"/>
    <x v="1"/>
    <d v="2021-03-27T00:00:00"/>
    <x v="1"/>
    <x v="2"/>
    <n v="122"/>
    <n v="56"/>
    <n v="17"/>
    <n v="12"/>
    <n v="33.299999999999997"/>
    <n v="1.1140000000000001"/>
    <n v="33"/>
    <n v="1"/>
    <x v="0"/>
    <x v="0"/>
  </r>
  <r>
    <n v="4735"/>
    <x v="1"/>
    <d v="2022-06-14T00:00:00"/>
    <x v="5"/>
    <x v="3"/>
    <n v="170"/>
    <n v="64"/>
    <n v="37"/>
    <n v="225"/>
    <n v="34.5"/>
    <n v="0.35599999999999998"/>
    <n v="30"/>
    <n v="1"/>
    <x v="0"/>
    <x v="0"/>
  </r>
  <r>
    <n v="8699"/>
    <x v="0"/>
    <d v="2024-05-19T00:00:00"/>
    <x v="11"/>
    <x v="0"/>
    <n v="96"/>
    <n v="68"/>
    <n v="13"/>
    <n v="49"/>
    <n v="21.1"/>
    <n v="0.64700000000000002"/>
    <n v="26"/>
    <n v="0"/>
    <x v="1"/>
    <x v="0"/>
  </r>
  <r>
    <n v="1914"/>
    <x v="0"/>
    <d v="2022-05-10T00:00:00"/>
    <x v="11"/>
    <x v="3"/>
    <n v="125"/>
    <n v="60"/>
    <n v="20"/>
    <n v="140"/>
    <n v="33.799999999999997"/>
    <n v="8.7999999999999995E-2"/>
    <n v="31"/>
    <n v="0"/>
    <x v="1"/>
    <x v="0"/>
  </r>
  <r>
    <n v="2061"/>
    <x v="0"/>
    <d v="2023-05-16T00:00:00"/>
    <x v="11"/>
    <x v="1"/>
    <n v="100"/>
    <n v="70"/>
    <n v="26"/>
    <n v="50"/>
    <n v="30.8"/>
    <n v="0.59699999999999998"/>
    <n v="21"/>
    <n v="0"/>
    <x v="1"/>
    <x v="0"/>
  </r>
  <r>
    <n v="4248"/>
    <x v="0"/>
    <d v="2023-08-08T00:00:00"/>
    <x v="9"/>
    <x v="1"/>
    <n v="93"/>
    <n v="60"/>
    <n v="25"/>
    <n v="92"/>
    <n v="28.7"/>
    <n v="0.53200000000000003"/>
    <n v="22"/>
    <n v="0"/>
    <x v="1"/>
    <x v="0"/>
  </r>
  <r>
    <n v="6600"/>
    <x v="0"/>
    <d v="2022-08-07T00:00:00"/>
    <x v="9"/>
    <x v="3"/>
    <n v="129"/>
    <n v="80"/>
    <n v="17"/>
    <n v="12"/>
    <n v="31.2"/>
    <n v="0.70299999999999996"/>
    <n v="29"/>
    <n v="0"/>
    <x v="1"/>
    <x v="0"/>
  </r>
  <r>
    <n v="8513"/>
    <x v="1"/>
    <d v="2022-07-28T00:00:00"/>
    <x v="0"/>
    <x v="3"/>
    <n v="105"/>
    <n v="72"/>
    <n v="29"/>
    <n v="325"/>
    <n v="36.9"/>
    <n v="0.159"/>
    <n v="28"/>
    <n v="0"/>
    <x v="1"/>
    <x v="0"/>
  </r>
  <r>
    <n v="4888"/>
    <x v="1"/>
    <d v="2024-11-10T00:00:00"/>
    <x v="4"/>
    <x v="0"/>
    <n v="128"/>
    <n v="78"/>
    <n v="17"/>
    <n v="12"/>
    <n v="21.1"/>
    <n v="0.26800000000000002"/>
    <n v="55"/>
    <n v="0"/>
    <x v="1"/>
    <x v="1"/>
  </r>
  <r>
    <n v="8257"/>
    <x v="0"/>
    <d v="2022-11-06T00:00:00"/>
    <x v="4"/>
    <x v="3"/>
    <n v="108"/>
    <n v="52"/>
    <n v="26"/>
    <n v="63"/>
    <n v="32.5"/>
    <n v="0.318"/>
    <n v="22"/>
    <n v="0"/>
    <x v="1"/>
    <x v="0"/>
  </r>
  <r>
    <n v="7299"/>
    <x v="0"/>
    <d v="2022-01-26T00:00:00"/>
    <x v="6"/>
    <x v="3"/>
    <n v="108"/>
    <n v="66"/>
    <n v="17"/>
    <n v="12"/>
    <n v="32.4"/>
    <n v="0.27200000000000002"/>
    <n v="42"/>
    <n v="1"/>
    <x v="0"/>
    <x v="2"/>
  </r>
  <r>
    <n v="1663"/>
    <x v="0"/>
    <d v="2024-01-26T00:00:00"/>
    <x v="6"/>
    <x v="0"/>
    <n v="154"/>
    <n v="62"/>
    <n v="31"/>
    <n v="284"/>
    <n v="32.799999999999997"/>
    <n v="0.23699999999999999"/>
    <n v="23"/>
    <n v="0"/>
    <x v="1"/>
    <x v="0"/>
  </r>
  <r>
    <n v="7630"/>
    <x v="0"/>
    <d v="2022-01-30T00:00:00"/>
    <x v="6"/>
    <x v="3"/>
    <n v="106"/>
    <n v="64"/>
    <n v="35"/>
    <n v="119"/>
    <n v="30.5"/>
    <n v="1.4"/>
    <n v="34"/>
    <n v="0"/>
    <x v="1"/>
    <x v="0"/>
  </r>
  <r>
    <n v="2788"/>
    <x v="1"/>
    <d v="2021-01-29T00:00:00"/>
    <x v="6"/>
    <x v="2"/>
    <n v="147"/>
    <n v="78"/>
    <n v="17"/>
    <n v="12"/>
    <n v="33.700000000000003"/>
    <n v="0.218"/>
    <n v="65"/>
    <n v="0"/>
    <x v="1"/>
    <x v="1"/>
  </r>
  <r>
    <n v="9939"/>
    <x v="1"/>
    <d v="2024-12-05T00:00:00"/>
    <x v="10"/>
    <x v="0"/>
    <n v="136"/>
    <n v="74"/>
    <n v="50"/>
    <n v="204"/>
    <n v="37.4"/>
    <n v="0.39900000000000002"/>
    <n v="24"/>
    <n v="0"/>
    <x v="1"/>
    <x v="0"/>
  </r>
  <r>
    <n v="2822"/>
    <x v="0"/>
    <d v="2023-10-13T00:00:00"/>
    <x v="7"/>
    <x v="1"/>
    <n v="114"/>
    <n v="65"/>
    <n v="17"/>
    <n v="12"/>
    <n v="21.9"/>
    <n v="0.432"/>
    <n v="37"/>
    <n v="0"/>
    <x v="1"/>
    <x v="2"/>
  </r>
  <r>
    <n v="3912"/>
    <x v="1"/>
    <d v="2021-07-28T00:00:00"/>
    <x v="0"/>
    <x v="2"/>
    <n v="156"/>
    <n v="86"/>
    <n v="28"/>
    <n v="155"/>
    <n v="34.299999999999997"/>
    <n v="1.1890000000000001"/>
    <n v="42"/>
    <n v="1"/>
    <x v="0"/>
    <x v="2"/>
  </r>
  <r>
    <n v="4196"/>
    <x v="1"/>
    <d v="2023-02-22T00:00:00"/>
    <x v="3"/>
    <x v="1"/>
    <n v="153"/>
    <n v="82"/>
    <n v="42"/>
    <n v="485"/>
    <n v="40.6"/>
    <n v="0.68700000000000006"/>
    <n v="23"/>
    <n v="0"/>
    <x v="1"/>
    <x v="0"/>
  </r>
  <r>
    <n v="2097"/>
    <x v="0"/>
    <d v="2021-05-21T00:00:00"/>
    <x v="11"/>
    <x v="2"/>
    <n v="188"/>
    <n v="78"/>
    <n v="17"/>
    <n v="12"/>
    <n v="47.9"/>
    <n v="0.13700000000000001"/>
    <n v="43"/>
    <n v="1"/>
    <x v="0"/>
    <x v="2"/>
  </r>
  <r>
    <n v="3521"/>
    <x v="0"/>
    <d v="2021-11-03T00:00:00"/>
    <x v="4"/>
    <x v="2"/>
    <n v="99"/>
    <n v="52"/>
    <n v="15"/>
    <n v="94"/>
    <n v="24.6"/>
    <n v="0.63700000000000001"/>
    <n v="21"/>
    <n v="0"/>
    <x v="1"/>
    <x v="0"/>
  </r>
  <r>
    <n v="3891"/>
    <x v="1"/>
    <d v="2021-04-24T00:00:00"/>
    <x v="8"/>
    <x v="2"/>
    <n v="109"/>
    <n v="56"/>
    <n v="21"/>
    <n v="135"/>
    <n v="25.2"/>
    <n v="0.83299999999999996"/>
    <n v="23"/>
    <n v="0"/>
    <x v="1"/>
    <x v="0"/>
  </r>
  <r>
    <n v="5261"/>
    <x v="0"/>
    <d v="2021-02-13T00:00:00"/>
    <x v="3"/>
    <x v="2"/>
    <n v="88"/>
    <n v="74"/>
    <n v="19"/>
    <n v="53"/>
    <n v="29"/>
    <n v="0.22900000000000001"/>
    <n v="22"/>
    <n v="0"/>
    <x v="1"/>
    <x v="0"/>
  </r>
  <r>
    <n v="4492"/>
    <x v="1"/>
    <d v="2024-07-27T00:00:00"/>
    <x v="0"/>
    <x v="0"/>
    <n v="163"/>
    <n v="72"/>
    <n v="41"/>
    <n v="114"/>
    <n v="40.9"/>
    <n v="0.81699999999999995"/>
    <n v="47"/>
    <n v="1"/>
    <x v="0"/>
    <x v="2"/>
  </r>
  <r>
    <n v="3864"/>
    <x v="1"/>
    <d v="2022-07-21T00:00:00"/>
    <x v="0"/>
    <x v="3"/>
    <n v="102"/>
    <n v="74"/>
    <n v="40"/>
    <n v="105"/>
    <n v="37.200000000000003"/>
    <n v="0.20399999999999999"/>
    <n v="45"/>
    <n v="0"/>
    <x v="1"/>
    <x v="2"/>
  </r>
  <r>
    <n v="1870"/>
    <x v="0"/>
    <d v="2024-07-04T00:00:00"/>
    <x v="0"/>
    <x v="0"/>
    <n v="114"/>
    <n v="80"/>
    <n v="34"/>
    <n v="285"/>
    <n v="44.2"/>
    <n v="0.16700000000000001"/>
    <n v="27"/>
    <n v="0"/>
    <x v="1"/>
    <x v="0"/>
  </r>
  <r>
    <n v="2217"/>
    <x v="0"/>
    <d v="2021-02-18T00:00:00"/>
    <x v="3"/>
    <x v="2"/>
    <n v="131"/>
    <n v="88"/>
    <n v="17"/>
    <n v="12"/>
    <n v="31.6"/>
    <n v="0.74299999999999999"/>
    <n v="32"/>
    <n v="1"/>
    <x v="0"/>
    <x v="0"/>
  </r>
  <r>
    <n v="8675"/>
    <x v="0"/>
    <d v="2022-06-10T00:00:00"/>
    <x v="5"/>
    <x v="3"/>
    <n v="104"/>
    <n v="74"/>
    <n v="18"/>
    <n v="156"/>
    <n v="29.9"/>
    <n v="0.72199999999999998"/>
    <n v="41"/>
    <n v="1"/>
    <x v="0"/>
    <x v="2"/>
  </r>
  <r>
    <n v="8257"/>
    <x v="0"/>
    <d v="2022-02-04T00:00:00"/>
    <x v="3"/>
    <x v="3"/>
    <n v="120"/>
    <n v="68"/>
    <n v="17"/>
    <n v="12"/>
    <n v="29.6"/>
    <n v="0.70899999999999996"/>
    <n v="34"/>
    <n v="0"/>
    <x v="1"/>
    <x v="0"/>
  </r>
  <r>
    <n v="9911"/>
    <x v="0"/>
    <d v="2022-04-12T00:00:00"/>
    <x v="8"/>
    <x v="3"/>
    <n v="110"/>
    <n v="66"/>
    <n v="22"/>
    <n v="12"/>
    <n v="31.9"/>
    <n v="0.47099999999999997"/>
    <n v="29"/>
    <n v="0"/>
    <x v="1"/>
    <x v="0"/>
  </r>
  <r>
    <n v="4535"/>
    <x v="1"/>
    <d v="2021-12-09T00:00:00"/>
    <x v="10"/>
    <x v="2"/>
    <n v="111"/>
    <n v="90"/>
    <n v="12"/>
    <n v="78"/>
    <n v="28.4"/>
    <n v="0.495"/>
    <n v="29"/>
    <n v="0"/>
    <x v="1"/>
    <x v="0"/>
  </r>
  <r>
    <n v="4653"/>
    <x v="0"/>
    <d v="2024-10-17T00:00:00"/>
    <x v="7"/>
    <x v="0"/>
    <n v="102"/>
    <n v="82"/>
    <n v="22"/>
    <n v="12"/>
    <n v="30.8"/>
    <n v="0.18"/>
    <n v="36"/>
    <n v="1"/>
    <x v="0"/>
    <x v="2"/>
  </r>
  <r>
    <n v="8206"/>
    <x v="0"/>
    <d v="2021-01-26T00:00:00"/>
    <x v="6"/>
    <x v="2"/>
    <n v="134"/>
    <n v="70"/>
    <n v="23"/>
    <n v="130"/>
    <n v="35.4"/>
    <n v="0.54200000000000004"/>
    <n v="29"/>
    <n v="1"/>
    <x v="0"/>
    <x v="0"/>
  </r>
  <r>
    <n v="9180"/>
    <x v="1"/>
    <d v="2023-06-23T00:00:00"/>
    <x v="5"/>
    <x v="1"/>
    <n v="79"/>
    <n v="60"/>
    <n v="42"/>
    <n v="48"/>
    <n v="43.5"/>
    <n v="0.67800000000000005"/>
    <n v="23"/>
    <n v="0"/>
    <x v="1"/>
    <x v="0"/>
  </r>
  <r>
    <n v="6670"/>
    <x v="0"/>
    <d v="2022-01-10T00:00:00"/>
    <x v="6"/>
    <x v="3"/>
    <n v="75"/>
    <n v="64"/>
    <n v="24"/>
    <n v="55"/>
    <n v="29.7"/>
    <n v="0.37"/>
    <n v="33"/>
    <n v="0"/>
    <x v="1"/>
    <x v="0"/>
  </r>
  <r>
    <n v="9735"/>
    <x v="0"/>
    <d v="2023-11-26T00:00:00"/>
    <x v="4"/>
    <x v="1"/>
    <n v="179"/>
    <n v="72"/>
    <n v="42"/>
    <n v="130"/>
    <n v="32.700000000000003"/>
    <n v="0.71899999999999997"/>
    <n v="36"/>
    <n v="1"/>
    <x v="0"/>
    <x v="2"/>
  </r>
  <r>
    <n v="1158"/>
    <x v="0"/>
    <d v="2022-04-19T00:00:00"/>
    <x v="8"/>
    <x v="3"/>
    <n v="85"/>
    <n v="78"/>
    <n v="22"/>
    <n v="12"/>
    <n v="31.2"/>
    <n v="0.38200000000000001"/>
    <n v="42"/>
    <n v="0"/>
    <x v="1"/>
    <x v="2"/>
  </r>
  <r>
    <n v="6324"/>
    <x v="0"/>
    <d v="2021-05-19T00:00:00"/>
    <x v="11"/>
    <x v="2"/>
    <n v="129"/>
    <n v="110"/>
    <n v="46"/>
    <n v="130"/>
    <n v="67.099999999999994"/>
    <n v="0.31900000000000001"/>
    <n v="26"/>
    <n v="1"/>
    <x v="0"/>
    <x v="0"/>
  </r>
  <r>
    <n v="2834"/>
    <x v="1"/>
    <d v="2024-01-07T00:00:00"/>
    <x v="6"/>
    <x v="0"/>
    <n v="143"/>
    <n v="78"/>
    <n v="22"/>
    <n v="12"/>
    <n v="45"/>
    <n v="0.19"/>
    <n v="47"/>
    <n v="0"/>
    <x v="1"/>
    <x v="2"/>
  </r>
  <r>
    <n v="6744"/>
    <x v="1"/>
    <d v="2022-08-02T00:00:00"/>
    <x v="9"/>
    <x v="3"/>
    <n v="130"/>
    <n v="82"/>
    <n v="22"/>
    <n v="12"/>
    <n v="39.1"/>
    <n v="0.95599999999999996"/>
    <n v="37"/>
    <n v="1"/>
    <x v="0"/>
    <x v="2"/>
  </r>
  <r>
    <n v="1643"/>
    <x v="0"/>
    <d v="2021-05-09T00:00:00"/>
    <x v="11"/>
    <x v="2"/>
    <n v="87"/>
    <n v="80"/>
    <n v="22"/>
    <n v="12"/>
    <n v="23.2"/>
    <n v="8.4000000000000005E-2"/>
    <n v="32"/>
    <n v="0"/>
    <x v="1"/>
    <x v="0"/>
  </r>
  <r>
    <n v="9839"/>
    <x v="0"/>
    <d v="2021-01-03T00:00:00"/>
    <x v="6"/>
    <x v="2"/>
    <n v="119"/>
    <n v="64"/>
    <n v="18"/>
    <n v="92"/>
    <n v="34.9"/>
    <n v="0.72499999999999998"/>
    <n v="23"/>
    <n v="0"/>
    <x v="1"/>
    <x v="0"/>
  </r>
  <r>
    <n v="5978"/>
    <x v="1"/>
    <d v="2022-08-27T00:00:00"/>
    <x v="9"/>
    <x v="3"/>
    <n v="73"/>
    <n v="60"/>
    <n v="22"/>
    <n v="12"/>
    <n v="26.8"/>
    <n v="0.26800000000000002"/>
    <n v="27"/>
    <n v="0"/>
    <x v="1"/>
    <x v="0"/>
  </r>
  <r>
    <n v="7433"/>
    <x v="0"/>
    <d v="2024-10-16T00:00:00"/>
    <x v="7"/>
    <x v="0"/>
    <n v="141"/>
    <n v="74"/>
    <n v="22"/>
    <n v="12"/>
    <n v="27.6"/>
    <n v="0.24399999999999999"/>
    <n v="40"/>
    <n v="0"/>
    <x v="1"/>
    <x v="2"/>
  </r>
  <r>
    <n v="9283"/>
    <x v="0"/>
    <d v="2024-12-07T00:00:00"/>
    <x v="10"/>
    <x v="0"/>
    <n v="181"/>
    <n v="68"/>
    <n v="36"/>
    <n v="495"/>
    <n v="30.1"/>
    <n v="0.61499999999999999"/>
    <n v="60"/>
    <n v="1"/>
    <x v="0"/>
    <x v="1"/>
  </r>
  <r>
    <n v="9726"/>
    <x v="1"/>
    <d v="2023-08-06T00:00:00"/>
    <x v="9"/>
    <x v="1"/>
    <n v="128"/>
    <n v="98"/>
    <n v="41"/>
    <n v="58"/>
    <n v="32"/>
    <n v="1.321"/>
    <n v="33"/>
    <n v="1"/>
    <x v="0"/>
    <x v="0"/>
  </r>
  <r>
    <n v="3969"/>
    <x v="0"/>
    <d v="2022-06-28T00:00:00"/>
    <x v="5"/>
    <x v="3"/>
    <n v="109"/>
    <n v="76"/>
    <n v="39"/>
    <n v="114"/>
    <n v="27.9"/>
    <n v="0.64"/>
    <n v="31"/>
    <n v="1"/>
    <x v="0"/>
    <x v="0"/>
  </r>
  <r>
    <n v="1065"/>
    <x v="1"/>
    <d v="2022-02-24T00:00:00"/>
    <x v="3"/>
    <x v="3"/>
    <n v="139"/>
    <n v="80"/>
    <n v="35"/>
    <n v="160"/>
    <n v="31.6"/>
    <n v="0.36099999999999999"/>
    <n v="25"/>
    <n v="1"/>
    <x v="0"/>
    <x v="0"/>
  </r>
  <r>
    <n v="4733"/>
    <x v="1"/>
    <d v="2021-04-13T00:00:00"/>
    <x v="8"/>
    <x v="2"/>
    <n v="111"/>
    <n v="62"/>
    <n v="22"/>
    <n v="12"/>
    <n v="22.6"/>
    <n v="0.14199999999999999"/>
    <n v="21"/>
    <n v="0"/>
    <x v="1"/>
    <x v="0"/>
  </r>
  <r>
    <n v="5209"/>
    <x v="1"/>
    <d v="2023-03-04T00:00:00"/>
    <x v="1"/>
    <x v="1"/>
    <n v="123"/>
    <n v="70"/>
    <n v="44"/>
    <n v="94"/>
    <n v="33.1"/>
    <n v="0.374"/>
    <n v="40"/>
    <n v="0"/>
    <x v="1"/>
    <x v="2"/>
  </r>
  <r>
    <n v="3596"/>
    <x v="1"/>
    <d v="2022-11-24T00:00:00"/>
    <x v="4"/>
    <x v="3"/>
    <n v="159"/>
    <n v="66"/>
    <n v="22"/>
    <n v="12"/>
    <n v="30.4"/>
    <n v="0.38300000000000001"/>
    <n v="36"/>
    <n v="1"/>
    <x v="0"/>
    <x v="2"/>
  </r>
  <r>
    <n v="6958"/>
    <x v="1"/>
    <d v="2023-05-30T00:00:00"/>
    <x v="11"/>
    <x v="1"/>
    <n v="158"/>
    <n v="84"/>
    <n v="41"/>
    <n v="210"/>
    <n v="39.4"/>
    <n v="0.39500000000000002"/>
    <n v="29"/>
    <n v="1"/>
    <x v="0"/>
    <x v="0"/>
  </r>
  <r>
    <n v="9796"/>
    <x v="1"/>
    <d v="2023-12-26T00:00:00"/>
    <x v="10"/>
    <x v="1"/>
    <n v="105"/>
    <n v="58"/>
    <n v="22"/>
    <n v="12"/>
    <n v="24.3"/>
    <n v="0.187"/>
    <n v="21"/>
    <n v="0"/>
    <x v="1"/>
    <x v="0"/>
  </r>
  <r>
    <n v="8238"/>
    <x v="1"/>
    <d v="2024-08-09T00:00:00"/>
    <x v="9"/>
    <x v="0"/>
    <n v="107"/>
    <n v="62"/>
    <n v="13"/>
    <n v="48"/>
    <n v="22.9"/>
    <n v="0.67800000000000005"/>
    <n v="23"/>
    <n v="1"/>
    <x v="0"/>
    <x v="0"/>
  </r>
  <r>
    <n v="1841"/>
    <x v="0"/>
    <d v="2023-05-23T00:00:00"/>
    <x v="11"/>
    <x v="1"/>
    <n v="109"/>
    <n v="64"/>
    <n v="44"/>
    <n v="99"/>
    <n v="34.799999999999997"/>
    <n v="0.90500000000000003"/>
    <n v="26"/>
    <n v="1"/>
    <x v="0"/>
    <x v="0"/>
  </r>
  <r>
    <n v="7351"/>
    <x v="0"/>
    <d v="2021-07-11T00:00:00"/>
    <x v="0"/>
    <x v="2"/>
    <n v="148"/>
    <n v="60"/>
    <n v="27"/>
    <n v="318"/>
    <n v="30.9"/>
    <n v="0.15"/>
    <n v="29"/>
    <n v="1"/>
    <x v="0"/>
    <x v="0"/>
  </r>
  <r>
    <n v="3428"/>
    <x v="1"/>
    <d v="2023-05-01T00:00:00"/>
    <x v="11"/>
    <x v="1"/>
    <n v="138"/>
    <n v="82"/>
    <n v="22"/>
    <n v="12"/>
    <n v="40.1"/>
    <n v="0.23599999999999999"/>
    <n v="28"/>
    <n v="0"/>
    <x v="1"/>
    <x v="0"/>
  </r>
  <r>
    <n v="8001"/>
    <x v="0"/>
    <d v="2021-03-07T00:00:00"/>
    <x v="1"/>
    <x v="2"/>
    <n v="99"/>
    <n v="70"/>
    <n v="16"/>
    <n v="44"/>
    <n v="20.399999999999999"/>
    <n v="0.23499999999999999"/>
    <n v="27"/>
    <n v="0"/>
    <x v="1"/>
    <x v="0"/>
  </r>
  <r>
    <n v="3253"/>
    <x v="0"/>
    <d v="2023-04-23T00:00:00"/>
    <x v="8"/>
    <x v="1"/>
    <n v="103"/>
    <n v="72"/>
    <n v="32"/>
    <n v="190"/>
    <n v="37.700000000000003"/>
    <n v="0.32400000000000001"/>
    <n v="55"/>
    <n v="0"/>
    <x v="1"/>
    <x v="1"/>
  </r>
  <r>
    <n v="1125"/>
    <x v="0"/>
    <d v="2023-09-18T00:00:00"/>
    <x v="2"/>
    <x v="1"/>
    <n v="196"/>
    <n v="76"/>
    <n v="29"/>
    <n v="280"/>
    <n v="37.5"/>
    <n v="0.60499999999999998"/>
    <n v="57"/>
    <n v="1"/>
    <x v="0"/>
    <x v="1"/>
  </r>
  <r>
    <n v="2226"/>
    <x v="1"/>
    <d v="2021-05-19T00:00:00"/>
    <x v="11"/>
    <x v="2"/>
    <n v="162"/>
    <n v="104"/>
    <n v="22"/>
    <n v="12"/>
    <n v="37.700000000000003"/>
    <n v="0.151"/>
    <n v="52"/>
    <n v="1"/>
    <x v="0"/>
    <x v="1"/>
  </r>
  <r>
    <n v="6768"/>
    <x v="1"/>
    <d v="2023-11-19T00:00:00"/>
    <x v="4"/>
    <x v="1"/>
    <n v="96"/>
    <n v="64"/>
    <n v="27"/>
    <n v="87"/>
    <n v="33.200000000000003"/>
    <n v="0.28899999999999998"/>
    <n v="21"/>
    <n v="0"/>
    <x v="1"/>
    <x v="0"/>
  </r>
  <r>
    <n v="2380"/>
    <x v="0"/>
    <d v="2022-05-22T00:00:00"/>
    <x v="11"/>
    <x v="3"/>
    <n v="140"/>
    <n v="65"/>
    <n v="26"/>
    <n v="130"/>
    <n v="42.6"/>
    <n v="0.43099999999999999"/>
    <n v="24"/>
    <n v="1"/>
    <x v="0"/>
    <x v="0"/>
  </r>
  <r>
    <n v="1504"/>
    <x v="1"/>
    <d v="2023-02-12T00:00:00"/>
    <x v="3"/>
    <x v="1"/>
    <n v="112"/>
    <n v="82"/>
    <n v="32"/>
    <n v="175"/>
    <n v="34.200000000000003"/>
    <n v="0.26"/>
    <n v="36"/>
    <n v="1"/>
    <x v="0"/>
    <x v="2"/>
  </r>
  <r>
    <n v="3291"/>
    <x v="0"/>
    <d v="2023-11-15T00:00:00"/>
    <x v="4"/>
    <x v="1"/>
    <n v="151"/>
    <n v="70"/>
    <n v="40"/>
    <n v="271"/>
    <n v="41.8"/>
    <n v="0.74199999999999999"/>
    <n v="38"/>
    <n v="1"/>
    <x v="0"/>
    <x v="2"/>
  </r>
  <r>
    <n v="1607"/>
    <x v="1"/>
    <d v="2022-03-03T00:00:00"/>
    <x v="1"/>
    <x v="3"/>
    <n v="109"/>
    <n v="62"/>
    <n v="41"/>
    <n v="129"/>
    <n v="35.799999999999997"/>
    <n v="0.51400000000000001"/>
    <n v="25"/>
    <n v="1"/>
    <x v="0"/>
    <x v="0"/>
  </r>
  <r>
    <n v="4939"/>
    <x v="0"/>
    <d v="2021-12-08T00:00:00"/>
    <x v="10"/>
    <x v="2"/>
    <n v="125"/>
    <n v="68"/>
    <n v="30"/>
    <n v="120"/>
    <n v="30"/>
    <n v="0.46400000000000002"/>
    <n v="32"/>
    <n v="0"/>
    <x v="1"/>
    <x v="0"/>
  </r>
  <r>
    <n v="1750"/>
    <x v="1"/>
    <d v="2021-08-05T00:00:00"/>
    <x v="9"/>
    <x v="2"/>
    <n v="112"/>
    <n v="66"/>
    <n v="22"/>
    <n v="12"/>
    <n v="37.799999999999997"/>
    <n v="0.26100000000000001"/>
    <n v="41"/>
    <n v="1"/>
    <x v="0"/>
    <x v="2"/>
  </r>
  <r>
    <n v="8930"/>
    <x v="0"/>
    <d v="2021-04-16T00:00:00"/>
    <x v="8"/>
    <x v="2"/>
    <n v="177"/>
    <n v="60"/>
    <n v="29"/>
    <n v="478"/>
    <n v="34.6"/>
    <n v="1.0720000000000001"/>
    <n v="21"/>
    <n v="1"/>
    <x v="0"/>
    <x v="0"/>
  </r>
  <r>
    <n v="1480"/>
    <x v="0"/>
    <d v="2024-04-05T00:00:00"/>
    <x v="8"/>
    <x v="0"/>
    <n v="158"/>
    <n v="90"/>
    <n v="22"/>
    <n v="32"/>
    <n v="31.6"/>
    <n v="0.80500000000000005"/>
    <n v="66"/>
    <n v="1"/>
    <x v="0"/>
    <x v="3"/>
  </r>
  <r>
    <n v="4363"/>
    <x v="1"/>
    <d v="2023-04-20T00:00:00"/>
    <x v="8"/>
    <x v="1"/>
    <n v="142"/>
    <n v="60"/>
    <n v="33"/>
    <n v="190"/>
    <n v="28.8"/>
    <n v="0.68700000000000006"/>
    <n v="61"/>
    <n v="0"/>
    <x v="1"/>
    <x v="1"/>
  </r>
  <r>
    <n v="3951"/>
    <x v="1"/>
    <d v="2022-10-25T00:00:00"/>
    <x v="7"/>
    <x v="3"/>
    <n v="100"/>
    <n v="66"/>
    <n v="15"/>
    <n v="56"/>
    <n v="23.6"/>
    <n v="0.66600000000000004"/>
    <n v="26"/>
    <n v="0"/>
    <x v="1"/>
    <x v="0"/>
  </r>
  <r>
    <n v="9244"/>
    <x v="1"/>
    <d v="2021-12-13T00:00:00"/>
    <x v="10"/>
    <x v="2"/>
    <n v="87"/>
    <n v="78"/>
    <n v="27"/>
    <n v="32"/>
    <n v="34.6"/>
    <n v="0.10100000000000001"/>
    <n v="22"/>
    <n v="0"/>
    <x v="1"/>
    <x v="0"/>
  </r>
  <r>
    <n v="8723"/>
    <x v="0"/>
    <d v="2021-12-31T00:00:00"/>
    <x v="10"/>
    <x v="2"/>
    <n v="101"/>
    <n v="76"/>
    <n v="22"/>
    <n v="32"/>
    <n v="35.700000000000003"/>
    <n v="0.19800000000000001"/>
    <n v="26"/>
    <n v="0"/>
    <x v="1"/>
    <x v="0"/>
  </r>
  <r>
    <n v="8122"/>
    <x v="0"/>
    <d v="2022-10-06T00:00:00"/>
    <x v="7"/>
    <x v="3"/>
    <n v="197"/>
    <n v="70"/>
    <n v="39"/>
    <n v="744"/>
    <n v="36.700000000000003"/>
    <n v="2.3290000000000002"/>
    <n v="31"/>
    <n v="0"/>
    <x v="1"/>
    <x v="0"/>
  </r>
  <r>
    <n v="9800"/>
    <x v="0"/>
    <d v="2022-06-16T00:00:00"/>
    <x v="5"/>
    <x v="3"/>
    <n v="117"/>
    <n v="80"/>
    <n v="31"/>
    <n v="53"/>
    <n v="45.2"/>
    <n v="8.8999999999999996E-2"/>
    <n v="24"/>
    <n v="0"/>
    <x v="1"/>
    <x v="0"/>
  </r>
  <r>
    <n v="7776"/>
    <x v="0"/>
    <d v="2021-12-30T00:00:00"/>
    <x v="10"/>
    <x v="2"/>
    <n v="142"/>
    <n v="86"/>
    <n v="22"/>
    <n v="32"/>
    <n v="44"/>
    <n v="0.64500000000000002"/>
    <n v="22"/>
    <n v="1"/>
    <x v="0"/>
    <x v="0"/>
  </r>
  <r>
    <n v="3774"/>
    <x v="0"/>
    <d v="2021-02-16T00:00:00"/>
    <x v="3"/>
    <x v="2"/>
    <n v="134"/>
    <n v="80"/>
    <n v="37"/>
    <n v="370"/>
    <n v="46.2"/>
    <n v="0.23799999999999999"/>
    <n v="46"/>
    <n v="1"/>
    <x v="0"/>
    <x v="2"/>
  </r>
  <r>
    <n v="3674"/>
    <x v="1"/>
    <d v="2022-05-03T00:00:00"/>
    <x v="11"/>
    <x v="3"/>
    <n v="79"/>
    <n v="80"/>
    <n v="25"/>
    <n v="37"/>
    <n v="25.4"/>
    <n v="0.58299999999999996"/>
    <n v="22"/>
    <n v="0"/>
    <x v="1"/>
    <x v="0"/>
  </r>
  <r>
    <n v="2633"/>
    <x v="0"/>
    <d v="2021-04-10T00:00:00"/>
    <x v="8"/>
    <x v="2"/>
    <n v="122"/>
    <n v="68"/>
    <n v="22"/>
    <n v="32"/>
    <n v="35"/>
    <n v="0.39400000000000002"/>
    <n v="29"/>
    <n v="0"/>
    <x v="1"/>
    <x v="0"/>
  </r>
  <r>
    <n v="5390"/>
    <x v="1"/>
    <d v="2022-06-21T00:00:00"/>
    <x v="5"/>
    <x v="3"/>
    <n v="74"/>
    <n v="68"/>
    <n v="28"/>
    <n v="45"/>
    <n v="29.7"/>
    <n v="0.29299999999999998"/>
    <n v="23"/>
    <n v="0"/>
    <x v="1"/>
    <x v="0"/>
  </r>
  <r>
    <n v="7856"/>
    <x v="0"/>
    <d v="2021-09-11T00:00:00"/>
    <x v="2"/>
    <x v="2"/>
    <n v="171"/>
    <n v="72"/>
    <n v="22"/>
    <n v="32"/>
    <n v="43.6"/>
    <n v="0.47899999999999998"/>
    <n v="26"/>
    <n v="1"/>
    <x v="0"/>
    <x v="0"/>
  </r>
  <r>
    <n v="3824"/>
    <x v="1"/>
    <d v="2022-06-12T00:00:00"/>
    <x v="5"/>
    <x v="3"/>
    <n v="181"/>
    <n v="84"/>
    <n v="21"/>
    <n v="192"/>
    <n v="35.9"/>
    <n v="0.58599999999999997"/>
    <n v="51"/>
    <n v="1"/>
    <x v="0"/>
    <x v="1"/>
  </r>
  <r>
    <n v="7649"/>
    <x v="0"/>
    <d v="2024-10-22T00:00:00"/>
    <x v="7"/>
    <x v="0"/>
    <n v="104"/>
    <n v="76"/>
    <n v="22"/>
    <n v="32"/>
    <n v="18.399999999999999"/>
    <n v="0.58199999999999996"/>
    <n v="27"/>
    <n v="0"/>
    <x v="1"/>
    <x v="0"/>
  </r>
  <r>
    <n v="7807"/>
    <x v="0"/>
    <d v="2022-10-21T00:00:00"/>
    <x v="7"/>
    <x v="3"/>
    <n v="91"/>
    <n v="70"/>
    <n v="32"/>
    <n v="88"/>
    <n v="33.1"/>
    <n v="0.44600000000000001"/>
    <n v="22"/>
    <n v="0"/>
    <x v="1"/>
    <x v="0"/>
  </r>
  <r>
    <n v="1827"/>
    <x v="1"/>
    <d v="2024-09-06T00:00:00"/>
    <x v="2"/>
    <x v="0"/>
    <n v="139"/>
    <n v="54"/>
    <n v="22"/>
    <n v="32"/>
    <n v="25.6"/>
    <n v="0.40200000000000002"/>
    <n v="22"/>
    <n v="1"/>
    <x v="0"/>
    <x v="0"/>
  </r>
  <r>
    <n v="1681"/>
    <x v="0"/>
    <d v="2022-08-11T00:00:00"/>
    <x v="9"/>
    <x v="3"/>
    <n v="119"/>
    <n v="50"/>
    <n v="22"/>
    <n v="176"/>
    <n v="27.1"/>
    <n v="1.3180000000000001"/>
    <n v="33"/>
    <n v="1"/>
    <x v="0"/>
    <x v="0"/>
  </r>
  <r>
    <n v="9046"/>
    <x v="0"/>
    <d v="2021-08-16T00:00:00"/>
    <x v="9"/>
    <x v="2"/>
    <n v="146"/>
    <n v="76"/>
    <n v="35"/>
    <n v="194"/>
    <n v="38.200000000000003"/>
    <n v="0.32900000000000001"/>
    <n v="29"/>
    <n v="0"/>
    <x v="1"/>
    <x v="0"/>
  </r>
  <r>
    <n v="5813"/>
    <x v="0"/>
    <d v="2023-09-28T00:00:00"/>
    <x v="2"/>
    <x v="1"/>
    <n v="122"/>
    <n v="68"/>
    <n v="22"/>
    <n v="32"/>
    <n v="31.2"/>
    <n v="0.25800000000000001"/>
    <n v="41"/>
    <n v="0"/>
    <x v="1"/>
    <x v="2"/>
  </r>
  <r>
    <n v="6745"/>
    <x v="0"/>
    <d v="2022-01-21T00:00:00"/>
    <x v="6"/>
    <x v="3"/>
    <n v="165"/>
    <n v="90"/>
    <n v="33"/>
    <n v="680"/>
    <n v="52.3"/>
    <n v="0.42699999999999999"/>
    <n v="23"/>
    <n v="0"/>
    <x v="1"/>
    <x v="0"/>
  </r>
  <r>
    <n v="6962"/>
    <x v="1"/>
    <d v="2024-05-10T00:00:00"/>
    <x v="11"/>
    <x v="0"/>
    <n v="124"/>
    <n v="70"/>
    <n v="33"/>
    <n v="402"/>
    <n v="35.4"/>
    <n v="0.28199999999999997"/>
    <n v="34"/>
    <n v="0"/>
    <x v="1"/>
    <x v="0"/>
  </r>
  <r>
    <n v="4626"/>
    <x v="1"/>
    <d v="2022-12-31T00:00:00"/>
    <x v="10"/>
    <x v="3"/>
    <n v="106"/>
    <n v="52"/>
    <n v="22"/>
    <n v="32"/>
    <n v="31.2"/>
    <n v="0.38"/>
    <n v="42"/>
    <n v="0"/>
    <x v="1"/>
    <x v="2"/>
  </r>
  <r>
    <n v="2888"/>
    <x v="0"/>
    <d v="2023-12-31T00:00:00"/>
    <x v="10"/>
    <x v="1"/>
    <n v="129"/>
    <n v="84"/>
    <n v="29"/>
    <n v="32"/>
    <n v="28"/>
    <n v="0.28399999999999997"/>
    <n v="27"/>
    <n v="0"/>
    <x v="1"/>
    <x v="0"/>
  </r>
  <r>
    <n v="6260"/>
    <x v="0"/>
    <d v="2024-07-23T00:00:00"/>
    <x v="0"/>
    <x v="0"/>
    <n v="90"/>
    <n v="80"/>
    <n v="14"/>
    <n v="55"/>
    <n v="24.4"/>
    <n v="0.249"/>
    <n v="24"/>
    <n v="0"/>
    <x v="1"/>
    <x v="0"/>
  </r>
  <r>
    <n v="6657"/>
    <x v="0"/>
    <d v="2023-07-29T00:00:00"/>
    <x v="0"/>
    <x v="1"/>
    <n v="92"/>
    <n v="62"/>
    <n v="7"/>
    <n v="258"/>
    <n v="27.6"/>
    <n v="0.92600000000000005"/>
    <n v="44"/>
    <n v="1"/>
    <x v="0"/>
    <x v="2"/>
  </r>
  <r>
    <n v="2988"/>
    <x v="1"/>
    <d v="2024-02-25T00:00:00"/>
    <x v="3"/>
    <x v="0"/>
    <n v="193"/>
    <n v="50"/>
    <n v="16"/>
    <n v="375"/>
    <n v="25.9"/>
    <n v="0.65500000000000003"/>
    <n v="24"/>
    <n v="0"/>
    <x v="1"/>
    <x v="0"/>
  </r>
  <r>
    <n v="5710"/>
    <x v="1"/>
    <d v="2023-08-29T00:00:00"/>
    <x v="9"/>
    <x v="1"/>
    <n v="155"/>
    <n v="76"/>
    <n v="28"/>
    <n v="150"/>
    <n v="33.299999999999997"/>
    <n v="1.353"/>
    <n v="51"/>
    <n v="1"/>
    <x v="0"/>
    <x v="1"/>
  </r>
  <r>
    <n v="4933"/>
    <x v="1"/>
    <d v="2022-04-07T00:00:00"/>
    <x v="8"/>
    <x v="3"/>
    <n v="191"/>
    <n v="68"/>
    <n v="15"/>
    <n v="130"/>
    <n v="30.9"/>
    <n v="0.29899999999999999"/>
    <n v="34"/>
    <n v="0"/>
    <x v="1"/>
    <x v="0"/>
  </r>
  <r>
    <n v="1191"/>
    <x v="0"/>
    <d v="2023-01-14T00:00:00"/>
    <x v="6"/>
    <x v="1"/>
    <n v="123"/>
    <n v="62"/>
    <n v="29"/>
    <n v="37"/>
    <n v="32"/>
    <n v="0.22600000000000001"/>
    <n v="35"/>
    <n v="1"/>
    <x v="0"/>
    <x v="0"/>
  </r>
  <r>
    <n v="8566"/>
    <x v="1"/>
    <d v="2022-12-12T00:00:00"/>
    <x v="10"/>
    <x v="3"/>
    <n v="96"/>
    <n v="74"/>
    <n v="18"/>
    <n v="67"/>
    <n v="33.6"/>
    <n v="0.997"/>
    <n v="43"/>
    <n v="0"/>
    <x v="1"/>
    <x v="2"/>
  </r>
  <r>
    <n v="5779"/>
    <x v="0"/>
    <d v="2022-08-24T00:00:00"/>
    <x v="9"/>
    <x v="3"/>
    <n v="102"/>
    <n v="52"/>
    <n v="29"/>
    <n v="37"/>
    <n v="25.1"/>
    <n v="7.8E-2"/>
    <n v="21"/>
    <n v="0"/>
    <x v="1"/>
    <x v="0"/>
  </r>
  <r>
    <n v="5221"/>
    <x v="0"/>
    <d v="2022-02-24T00:00:00"/>
    <x v="3"/>
    <x v="3"/>
    <n v="108"/>
    <n v="62"/>
    <n v="32"/>
    <n v="56"/>
    <n v="25.2"/>
    <n v="0.128"/>
    <n v="21"/>
    <n v="0"/>
    <x v="1"/>
    <x v="0"/>
  </r>
  <r>
    <n v="4793"/>
    <x v="1"/>
    <d v="2024-11-10T00:00:00"/>
    <x v="4"/>
    <x v="0"/>
    <n v="122"/>
    <n v="78"/>
    <n v="29"/>
    <n v="37"/>
    <n v="23"/>
    <n v="0.254"/>
    <n v="40"/>
    <n v="0"/>
    <x v="1"/>
    <x v="2"/>
  </r>
  <r>
    <n v="2642"/>
    <x v="1"/>
    <d v="2022-11-18T00:00:00"/>
    <x v="4"/>
    <x v="3"/>
    <n v="71"/>
    <n v="78"/>
    <n v="50"/>
    <n v="45"/>
    <n v="33.200000000000003"/>
    <n v="0.42199999999999999"/>
    <n v="21"/>
    <n v="0"/>
    <x v="1"/>
    <x v="0"/>
  </r>
  <r>
    <n v="4603"/>
    <x v="1"/>
    <d v="2021-12-24T00:00:00"/>
    <x v="10"/>
    <x v="2"/>
    <n v="106"/>
    <n v="70"/>
    <n v="29"/>
    <n v="37"/>
    <n v="34.200000000000003"/>
    <n v="0.251"/>
    <n v="52"/>
    <n v="0"/>
    <x v="1"/>
    <x v="1"/>
  </r>
  <r>
    <n v="4203"/>
    <x v="0"/>
    <d v="2023-08-12T00:00:00"/>
    <x v="9"/>
    <x v="1"/>
    <n v="100"/>
    <n v="70"/>
    <n v="52"/>
    <n v="57"/>
    <n v="40.5"/>
    <n v="0.67700000000000005"/>
    <n v="25"/>
    <n v="0"/>
    <x v="1"/>
    <x v="0"/>
  </r>
  <r>
    <n v="3698"/>
    <x v="0"/>
    <d v="2023-12-16T00:00:00"/>
    <x v="10"/>
    <x v="1"/>
    <n v="104"/>
    <n v="64"/>
    <n v="23"/>
    <n v="116"/>
    <n v="27.8"/>
    <n v="0.45400000000000001"/>
    <n v="23"/>
    <n v="0"/>
    <x v="1"/>
    <x v="0"/>
  </r>
  <r>
    <n v="6260"/>
    <x v="1"/>
    <d v="2023-01-23T00:00:00"/>
    <x v="6"/>
    <x v="1"/>
    <n v="114"/>
    <n v="74"/>
    <n v="29"/>
    <n v="37"/>
    <n v="24.9"/>
    <n v="0.74399999999999999"/>
    <n v="57"/>
    <n v="0"/>
    <x v="1"/>
    <x v="1"/>
  </r>
  <r>
    <n v="3891"/>
    <x v="0"/>
    <d v="2024-04-24T00:00:00"/>
    <x v="8"/>
    <x v="0"/>
    <n v="108"/>
    <n v="62"/>
    <n v="10"/>
    <n v="278"/>
    <n v="25.3"/>
    <n v="0.88100000000000001"/>
    <n v="22"/>
    <n v="0"/>
    <x v="1"/>
    <x v="0"/>
  </r>
  <r>
    <n v="8130"/>
    <x v="0"/>
    <d v="2022-12-20T00:00:00"/>
    <x v="10"/>
    <x v="3"/>
    <n v="146"/>
    <n v="70"/>
    <n v="29"/>
    <n v="37"/>
    <n v="37.9"/>
    <n v="0.33400000000000002"/>
    <n v="28"/>
    <n v="1"/>
    <x v="0"/>
    <x v="0"/>
  </r>
  <r>
    <n v="2698"/>
    <x v="0"/>
    <d v="2023-12-09T00:00:00"/>
    <x v="10"/>
    <x v="1"/>
    <n v="129"/>
    <n v="76"/>
    <n v="28"/>
    <n v="122"/>
    <n v="35.9"/>
    <n v="0.28000000000000003"/>
    <n v="39"/>
    <n v="0"/>
    <x v="1"/>
    <x v="2"/>
  </r>
  <r>
    <n v="6440"/>
    <x v="1"/>
    <d v="2023-10-22T00:00:00"/>
    <x v="7"/>
    <x v="1"/>
    <n v="133"/>
    <n v="88"/>
    <n v="15"/>
    <n v="155"/>
    <n v="32.4"/>
    <n v="0.26200000000000001"/>
    <n v="37"/>
    <n v="0"/>
    <x v="1"/>
    <x v="2"/>
  </r>
  <r>
    <n v="7333"/>
    <x v="1"/>
    <d v="2023-11-16T00:00:00"/>
    <x v="4"/>
    <x v="1"/>
    <n v="161"/>
    <n v="86"/>
    <n v="29"/>
    <n v="37"/>
    <n v="30.4"/>
    <n v="0.16500000000000001"/>
    <n v="47"/>
    <n v="1"/>
    <x v="0"/>
    <x v="2"/>
  </r>
  <r>
    <n v="2487"/>
    <x v="0"/>
    <d v="2024-05-22T00:00:00"/>
    <x v="11"/>
    <x v="0"/>
    <n v="108"/>
    <n v="80"/>
    <n v="29"/>
    <n v="37"/>
    <n v="27"/>
    <n v="0.25900000000000001"/>
    <n v="52"/>
    <n v="1"/>
    <x v="0"/>
    <x v="1"/>
  </r>
  <r>
    <n v="8604"/>
    <x v="1"/>
    <d v="2022-02-28T00:00:00"/>
    <x v="3"/>
    <x v="3"/>
    <n v="136"/>
    <n v="74"/>
    <n v="26"/>
    <n v="135"/>
    <n v="26"/>
    <n v="0.64700000000000002"/>
    <n v="51"/>
    <n v="0"/>
    <x v="1"/>
    <x v="1"/>
  </r>
  <r>
    <n v="5091"/>
    <x v="1"/>
    <d v="2023-01-15T00:00:00"/>
    <x v="6"/>
    <x v="1"/>
    <n v="155"/>
    <n v="84"/>
    <n v="44"/>
    <n v="545"/>
    <n v="38.700000000000003"/>
    <n v="0.61899999999999999"/>
    <n v="34"/>
    <n v="0"/>
    <x v="1"/>
    <x v="0"/>
  </r>
  <r>
    <n v="9229"/>
    <x v="1"/>
    <d v="2021-12-20T00:00:00"/>
    <x v="10"/>
    <x v="2"/>
    <n v="119"/>
    <n v="86"/>
    <n v="39"/>
    <n v="220"/>
    <n v="45.6"/>
    <n v="0.80800000000000005"/>
    <n v="29"/>
    <n v="1"/>
    <x v="0"/>
    <x v="0"/>
  </r>
  <r>
    <n v="2758"/>
    <x v="0"/>
    <d v="2021-10-08T00:00:00"/>
    <x v="7"/>
    <x v="2"/>
    <n v="96"/>
    <n v="56"/>
    <n v="17"/>
    <n v="49"/>
    <n v="20.8"/>
    <n v="0.34"/>
    <n v="26"/>
    <n v="0"/>
    <x v="1"/>
    <x v="0"/>
  </r>
  <r>
    <n v="7578"/>
    <x v="1"/>
    <d v="2023-02-06T00:00:00"/>
    <x v="3"/>
    <x v="1"/>
    <n v="108"/>
    <n v="72"/>
    <n v="43"/>
    <n v="75"/>
    <n v="36.1"/>
    <n v="0.26300000000000001"/>
    <n v="33"/>
    <n v="0"/>
    <x v="1"/>
    <x v="0"/>
  </r>
  <r>
    <n v="4402"/>
    <x v="0"/>
    <d v="2023-01-19T00:00:00"/>
    <x v="6"/>
    <x v="1"/>
    <n v="78"/>
    <n v="88"/>
    <n v="29"/>
    <n v="40"/>
    <n v="36.9"/>
    <n v="0.434"/>
    <n v="21"/>
    <n v="0"/>
    <x v="1"/>
    <x v="0"/>
  </r>
  <r>
    <n v="2903"/>
    <x v="0"/>
    <d v="2024-08-20T00:00:00"/>
    <x v="9"/>
    <x v="0"/>
    <n v="107"/>
    <n v="62"/>
    <n v="30"/>
    <n v="74"/>
    <n v="36.6"/>
    <n v="0.75700000000000001"/>
    <n v="25"/>
    <n v="1"/>
    <x v="0"/>
    <x v="0"/>
  </r>
  <r>
    <n v="1792"/>
    <x v="0"/>
    <d v="2024-01-18T00:00:00"/>
    <x v="6"/>
    <x v="0"/>
    <n v="128"/>
    <n v="78"/>
    <n v="37"/>
    <n v="182"/>
    <n v="43.3"/>
    <n v="1.224"/>
    <n v="31"/>
    <n v="1"/>
    <x v="0"/>
    <x v="0"/>
  </r>
  <r>
    <n v="5595"/>
    <x v="1"/>
    <d v="2021-07-03T00:00:00"/>
    <x v="0"/>
    <x v="2"/>
    <n v="128"/>
    <n v="48"/>
    <n v="45"/>
    <n v="194"/>
    <n v="40.5"/>
    <n v="0.61299999999999999"/>
    <n v="24"/>
    <n v="1"/>
    <x v="0"/>
    <x v="0"/>
  </r>
  <r>
    <n v="1762"/>
    <x v="0"/>
    <d v="2021-07-27T00:00:00"/>
    <x v="0"/>
    <x v="2"/>
    <n v="161"/>
    <n v="50"/>
    <n v="29"/>
    <n v="37"/>
    <n v="21.9"/>
    <n v="0.254"/>
    <n v="65"/>
    <n v="0"/>
    <x v="1"/>
    <x v="1"/>
  </r>
  <r>
    <n v="1973"/>
    <x v="0"/>
    <d v="2023-10-02T00:00:00"/>
    <x v="7"/>
    <x v="1"/>
    <n v="151"/>
    <n v="62"/>
    <n v="31"/>
    <n v="120"/>
    <n v="35.5"/>
    <n v="0.69199999999999995"/>
    <n v="28"/>
    <n v="0"/>
    <x v="1"/>
    <x v="0"/>
  </r>
  <r>
    <n v="7133"/>
    <x v="0"/>
    <d v="2023-11-09T00:00:00"/>
    <x v="4"/>
    <x v="1"/>
    <n v="146"/>
    <n v="70"/>
    <n v="38"/>
    <n v="360"/>
    <n v="28"/>
    <n v="0.33700000000000002"/>
    <n v="29"/>
    <n v="1"/>
    <x v="0"/>
    <x v="0"/>
  </r>
  <r>
    <n v="7167"/>
    <x v="0"/>
    <d v="2023-01-31T00:00:00"/>
    <x v="6"/>
    <x v="1"/>
    <n v="126"/>
    <n v="84"/>
    <n v="29"/>
    <n v="215"/>
    <n v="30.7"/>
    <n v="0.52"/>
    <n v="24"/>
    <n v="0"/>
    <x v="1"/>
    <x v="0"/>
  </r>
  <r>
    <n v="9869"/>
    <x v="0"/>
    <d v="2022-01-25T00:00:00"/>
    <x v="6"/>
    <x v="3"/>
    <n v="100"/>
    <n v="78"/>
    <n v="25"/>
    <n v="184"/>
    <n v="36.6"/>
    <n v="0.41199999999999998"/>
    <n v="46"/>
    <n v="1"/>
    <x v="0"/>
    <x v="2"/>
  </r>
  <r>
    <n v="8280"/>
    <x v="0"/>
    <d v="2024-11-04T00:00:00"/>
    <x v="4"/>
    <x v="0"/>
    <n v="112"/>
    <n v="72"/>
    <n v="29"/>
    <n v="37"/>
    <n v="23.6"/>
    <n v="0.84"/>
    <n v="58"/>
    <n v="0"/>
    <x v="1"/>
    <x v="1"/>
  </r>
  <r>
    <n v="1057"/>
    <x v="0"/>
    <d v="2021-12-04T00:00:00"/>
    <x v="10"/>
    <x v="2"/>
    <n v="144"/>
    <n v="58"/>
    <n v="33"/>
    <n v="135"/>
    <n v="31.6"/>
    <n v="0.42199999999999999"/>
    <n v="25"/>
    <n v="1"/>
    <x v="0"/>
    <x v="0"/>
  </r>
  <r>
    <n v="8147"/>
    <x v="1"/>
    <d v="2022-12-13T00:00:00"/>
    <x v="10"/>
    <x v="3"/>
    <n v="77"/>
    <n v="82"/>
    <n v="41"/>
    <n v="42"/>
    <n v="35.799999999999997"/>
    <n v="0.156"/>
    <n v="35"/>
    <n v="0"/>
    <x v="1"/>
    <x v="0"/>
  </r>
  <r>
    <n v="1470"/>
    <x v="1"/>
    <d v="2024-07-28T00:00:00"/>
    <x v="0"/>
    <x v="0"/>
    <n v="115"/>
    <n v="98"/>
    <n v="29"/>
    <n v="37"/>
    <n v="52.9"/>
    <n v="0.20899999999999999"/>
    <n v="28"/>
    <n v="1"/>
    <x v="0"/>
    <x v="0"/>
  </r>
  <r>
    <n v="4039"/>
    <x v="1"/>
    <d v="2024-02-14T00:00:00"/>
    <x v="3"/>
    <x v="0"/>
    <n v="150"/>
    <n v="76"/>
    <n v="29"/>
    <n v="37"/>
    <n v="21"/>
    <n v="0.20699999999999999"/>
    <n v="37"/>
    <n v="0"/>
    <x v="1"/>
    <x v="2"/>
  </r>
  <r>
    <n v="3553"/>
    <x v="0"/>
    <d v="2023-01-17T00:00:00"/>
    <x v="6"/>
    <x v="1"/>
    <n v="120"/>
    <n v="76"/>
    <n v="37"/>
    <n v="105"/>
    <n v="39.700000000000003"/>
    <n v="0.215"/>
    <n v="29"/>
    <n v="0"/>
    <x v="1"/>
    <x v="0"/>
  </r>
  <r>
    <n v="9954"/>
    <x v="0"/>
    <d v="2024-11-14T00:00:00"/>
    <x v="4"/>
    <x v="0"/>
    <n v="161"/>
    <n v="68"/>
    <n v="23"/>
    <n v="132"/>
    <n v="25.5"/>
    <n v="0.32600000000000001"/>
    <n v="47"/>
    <n v="1"/>
    <x v="0"/>
    <x v="2"/>
  </r>
  <r>
    <n v="9145"/>
    <x v="0"/>
    <d v="2023-01-07T00:00:00"/>
    <x v="6"/>
    <x v="1"/>
    <n v="137"/>
    <n v="68"/>
    <n v="14"/>
    <n v="148"/>
    <n v="24.8"/>
    <n v="0.14299999999999999"/>
    <n v="21"/>
    <n v="0"/>
    <x v="1"/>
    <x v="0"/>
  </r>
  <r>
    <n v="4858"/>
    <x v="0"/>
    <d v="2021-10-17T00:00:00"/>
    <x v="7"/>
    <x v="2"/>
    <n v="128"/>
    <n v="68"/>
    <n v="19"/>
    <n v="180"/>
    <n v="30.5"/>
    <n v="1.391"/>
    <n v="25"/>
    <n v="1"/>
    <x v="0"/>
    <x v="0"/>
  </r>
  <r>
    <n v="3661"/>
    <x v="0"/>
    <d v="2023-11-26T00:00:00"/>
    <x v="4"/>
    <x v="1"/>
    <n v="124"/>
    <n v="68"/>
    <n v="28"/>
    <n v="205"/>
    <n v="32.9"/>
    <n v="0.875"/>
    <n v="30"/>
    <n v="1"/>
    <x v="0"/>
    <x v="0"/>
  </r>
  <r>
    <n v="2979"/>
    <x v="0"/>
    <d v="2023-08-31T00:00:00"/>
    <x v="9"/>
    <x v="1"/>
    <n v="106"/>
    <n v="70"/>
    <n v="37"/>
    <n v="148"/>
    <n v="39.4"/>
    <n v="0.60499999999999998"/>
    <n v="22"/>
    <n v="0"/>
    <x v="1"/>
    <x v="0"/>
  </r>
  <r>
    <n v="3675"/>
    <x v="0"/>
    <d v="2021-03-19T00:00:00"/>
    <x v="1"/>
    <x v="2"/>
    <n v="155"/>
    <n v="74"/>
    <n v="17"/>
    <n v="96"/>
    <n v="26.6"/>
    <n v="0.433"/>
    <n v="27"/>
    <n v="1"/>
    <x v="0"/>
    <x v="0"/>
  </r>
  <r>
    <n v="3889"/>
    <x v="1"/>
    <d v="2022-01-17T00:00:00"/>
    <x v="6"/>
    <x v="3"/>
    <n v="113"/>
    <n v="50"/>
    <n v="10"/>
    <n v="85"/>
    <n v="29.5"/>
    <n v="0.626"/>
    <n v="25"/>
    <n v="0"/>
    <x v="1"/>
    <x v="0"/>
  </r>
  <r>
    <n v="4562"/>
    <x v="0"/>
    <d v="2023-08-30T00:00:00"/>
    <x v="9"/>
    <x v="1"/>
    <n v="112"/>
    <n v="68"/>
    <n v="22"/>
    <n v="94"/>
    <n v="34.1"/>
    <n v="0.315"/>
    <n v="26"/>
    <n v="0"/>
    <x v="1"/>
    <x v="0"/>
  </r>
  <r>
    <n v="3110"/>
    <x v="1"/>
    <d v="2024-02-01T00:00:00"/>
    <x v="3"/>
    <x v="0"/>
    <n v="99"/>
    <n v="80"/>
    <n v="11"/>
    <n v="64"/>
    <n v="19.3"/>
    <n v="0.28399999999999997"/>
    <n v="30"/>
    <n v="0"/>
    <x v="1"/>
    <x v="0"/>
  </r>
  <r>
    <n v="9910"/>
    <x v="1"/>
    <d v="2024-04-21T00:00:00"/>
    <x v="8"/>
    <x v="0"/>
    <n v="182"/>
    <n v="74"/>
    <n v="29"/>
    <n v="37"/>
    <n v="30.5"/>
    <n v="0.34499999999999997"/>
    <n v="29"/>
    <n v="1"/>
    <x v="0"/>
    <x v="0"/>
  </r>
  <r>
    <n v="9848"/>
    <x v="1"/>
    <d v="2023-11-28T00:00:00"/>
    <x v="4"/>
    <x v="1"/>
    <n v="115"/>
    <n v="66"/>
    <n v="39"/>
    <n v="140"/>
    <n v="38.1"/>
    <n v="0.15"/>
    <n v="28"/>
    <n v="0"/>
    <x v="1"/>
    <x v="0"/>
  </r>
  <r>
    <n v="2940"/>
    <x v="0"/>
    <d v="2021-01-10T00:00:00"/>
    <x v="6"/>
    <x v="2"/>
    <n v="194"/>
    <n v="78"/>
    <n v="29"/>
    <n v="37"/>
    <n v="23.5"/>
    <n v="0.129"/>
    <n v="59"/>
    <n v="1"/>
    <x v="0"/>
    <x v="1"/>
  </r>
  <r>
    <n v="3517"/>
    <x v="0"/>
    <d v="2021-02-23T00:00:00"/>
    <x v="3"/>
    <x v="2"/>
    <n v="129"/>
    <n v="60"/>
    <n v="12"/>
    <n v="231"/>
    <n v="27.5"/>
    <n v="0.52700000000000002"/>
    <n v="31"/>
    <n v="0"/>
    <x v="1"/>
    <x v="0"/>
  </r>
  <r>
    <n v="3781"/>
    <x v="1"/>
    <d v="2022-11-01T00:00:00"/>
    <x v="4"/>
    <x v="3"/>
    <n v="152"/>
    <n v="90"/>
    <n v="33"/>
    <n v="29"/>
    <n v="26.8"/>
    <n v="0.73099999999999998"/>
    <n v="43"/>
    <n v="1"/>
    <x v="0"/>
    <x v="2"/>
  </r>
  <r>
    <n v="1966"/>
    <x v="1"/>
    <d v="2024-05-21T00:00:00"/>
    <x v="11"/>
    <x v="0"/>
    <n v="157"/>
    <n v="72"/>
    <n v="21"/>
    <n v="168"/>
    <n v="25.6"/>
    <n v="0.123"/>
    <n v="24"/>
    <n v="0"/>
    <x v="1"/>
    <x v="0"/>
  </r>
  <r>
    <n v="8283"/>
    <x v="1"/>
    <d v="2022-03-22T00:00:00"/>
    <x v="1"/>
    <x v="3"/>
    <n v="122"/>
    <n v="64"/>
    <n v="32"/>
    <n v="156"/>
    <n v="35.1"/>
    <n v="0.69199999999999995"/>
    <n v="30"/>
    <n v="1"/>
    <x v="0"/>
    <x v="0"/>
  </r>
  <r>
    <n v="3020"/>
    <x v="0"/>
    <d v="2022-10-04T00:00:00"/>
    <x v="7"/>
    <x v="3"/>
    <n v="179"/>
    <n v="70"/>
    <n v="29"/>
    <n v="37"/>
    <n v="35.1"/>
    <n v="0.2"/>
    <n v="37"/>
    <n v="0"/>
    <x v="1"/>
    <x v="2"/>
  </r>
  <r>
    <n v="6632"/>
    <x v="0"/>
    <d v="2022-07-16T00:00:00"/>
    <x v="0"/>
    <x v="3"/>
    <n v="102"/>
    <n v="86"/>
    <n v="36"/>
    <n v="120"/>
    <n v="45.5"/>
    <n v="0.127"/>
    <n v="23"/>
    <n v="1"/>
    <x v="0"/>
    <x v="0"/>
  </r>
  <r>
    <n v="4490"/>
    <x v="0"/>
    <d v="2023-09-25T00:00:00"/>
    <x v="2"/>
    <x v="1"/>
    <n v="105"/>
    <n v="70"/>
    <n v="32"/>
    <n v="68"/>
    <n v="30.8"/>
    <n v="0.122"/>
    <n v="37"/>
    <n v="0"/>
    <x v="1"/>
    <x v="2"/>
  </r>
  <r>
    <n v="7242"/>
    <x v="0"/>
    <d v="2022-05-15T00:00:00"/>
    <x v="11"/>
    <x v="3"/>
    <n v="87"/>
    <n v="58"/>
    <n v="16"/>
    <n v="52"/>
    <n v="32.700000000000003"/>
    <n v="0.16600000000000001"/>
    <n v="25"/>
    <n v="0"/>
    <x v="1"/>
    <x v="0"/>
  </r>
  <r>
    <n v="2478"/>
    <x v="0"/>
    <d v="2023-12-23T00:00:00"/>
    <x v="10"/>
    <x v="1"/>
    <n v="106"/>
    <n v="80"/>
    <n v="29"/>
    <n v="19"/>
    <n v="23.6"/>
    <n v="0.13700000000000001"/>
    <n v="44"/>
    <n v="0"/>
    <x v="1"/>
    <x v="2"/>
  </r>
  <r>
    <n v="3449"/>
    <x v="1"/>
    <d v="2024-09-24T00:00:00"/>
    <x v="2"/>
    <x v="0"/>
    <n v="95"/>
    <n v="60"/>
    <n v="18"/>
    <n v="58"/>
    <n v="23.9"/>
    <n v="0.26"/>
    <n v="22"/>
    <n v="0"/>
    <x v="1"/>
    <x v="0"/>
  </r>
  <r>
    <n v="3995"/>
    <x v="0"/>
    <d v="2024-01-02T00:00:00"/>
    <x v="6"/>
    <x v="0"/>
    <n v="165"/>
    <n v="76"/>
    <n v="43"/>
    <n v="255"/>
    <n v="47.9"/>
    <n v="0.25900000000000001"/>
    <n v="26"/>
    <n v="0"/>
    <x v="1"/>
    <x v="0"/>
  </r>
  <r>
    <n v="3214"/>
    <x v="1"/>
    <d v="2022-11-12T00:00:00"/>
    <x v="4"/>
    <x v="3"/>
    <n v="115"/>
    <n v="76"/>
    <n v="29"/>
    <n v="19"/>
    <n v="31.2"/>
    <n v="0.34300000000000003"/>
    <n v="44"/>
    <n v="1"/>
    <x v="0"/>
    <x v="2"/>
  </r>
  <r>
    <n v="2502"/>
    <x v="1"/>
    <d v="2024-01-30T00:00:00"/>
    <x v="6"/>
    <x v="0"/>
    <n v="152"/>
    <n v="78"/>
    <n v="34"/>
    <n v="171"/>
    <n v="34.200000000000003"/>
    <n v="0.89300000000000002"/>
    <n v="33"/>
    <n v="1"/>
    <x v="0"/>
    <x v="0"/>
  </r>
  <r>
    <n v="3283"/>
    <x v="1"/>
    <d v="2024-12-07T00:00:00"/>
    <x v="10"/>
    <x v="0"/>
    <n v="178"/>
    <n v="84"/>
    <n v="29"/>
    <n v="19"/>
    <n v="39.9"/>
    <n v="0.33100000000000002"/>
    <n v="41"/>
    <n v="1"/>
    <x v="0"/>
    <x v="2"/>
  </r>
  <r>
    <n v="5911"/>
    <x v="1"/>
    <d v="2024-09-18T00:00:00"/>
    <x v="2"/>
    <x v="0"/>
    <n v="130"/>
    <n v="70"/>
    <n v="13"/>
    <n v="105"/>
    <n v="25.9"/>
    <n v="0.47199999999999998"/>
    <n v="22"/>
    <n v="0"/>
    <x v="1"/>
    <x v="0"/>
  </r>
  <r>
    <n v="4683"/>
    <x v="1"/>
    <d v="2024-07-17T00:00:00"/>
    <x v="0"/>
    <x v="0"/>
    <n v="95"/>
    <n v="74"/>
    <n v="21"/>
    <n v="73"/>
    <n v="25.9"/>
    <n v="0.67300000000000004"/>
    <n v="36"/>
    <n v="0"/>
    <x v="1"/>
    <x v="2"/>
  </r>
  <r>
    <n v="4715"/>
    <x v="1"/>
    <d v="2022-06-13T00:00:00"/>
    <x v="5"/>
    <x v="3"/>
    <n v="122"/>
    <n v="86"/>
    <n v="29"/>
    <n v="19"/>
    <n v="34.700000000000003"/>
    <n v="0.28999999999999998"/>
    <n v="33"/>
    <n v="0"/>
    <x v="1"/>
    <x v="0"/>
  </r>
  <r>
    <n v="5551"/>
    <x v="0"/>
    <d v="2022-02-11T00:00:00"/>
    <x v="3"/>
    <x v="3"/>
    <n v="95"/>
    <n v="72"/>
    <n v="29"/>
    <n v="19"/>
    <n v="36.799999999999997"/>
    <n v="0.48499999999999999"/>
    <n v="57"/>
    <n v="0"/>
    <x v="1"/>
    <x v="1"/>
  </r>
  <r>
    <n v="7701"/>
    <x v="0"/>
    <d v="2023-01-07T00:00:00"/>
    <x v="6"/>
    <x v="1"/>
    <n v="126"/>
    <n v="88"/>
    <n v="36"/>
    <n v="108"/>
    <n v="38.5"/>
    <n v="0.34899999999999998"/>
    <n v="49"/>
    <n v="0"/>
    <x v="1"/>
    <x v="2"/>
  </r>
  <r>
    <n v="3561"/>
    <x v="1"/>
    <d v="2024-06-22T00:00:00"/>
    <x v="5"/>
    <x v="0"/>
    <n v="139"/>
    <n v="46"/>
    <n v="19"/>
    <n v="83"/>
    <n v="28.7"/>
    <n v="0.65400000000000003"/>
    <n v="22"/>
    <n v="0"/>
    <x v="1"/>
    <x v="0"/>
  </r>
  <r>
    <n v="5319"/>
    <x v="1"/>
    <d v="2021-05-06T00:00:00"/>
    <x v="11"/>
    <x v="2"/>
    <n v="99"/>
    <n v="62"/>
    <n v="19"/>
    <n v="74"/>
    <n v="21.8"/>
    <n v="0.27900000000000003"/>
    <n v="26"/>
    <n v="0"/>
    <x v="1"/>
    <x v="0"/>
  </r>
  <r>
    <n v="7985"/>
    <x v="0"/>
    <d v="2021-12-12T00:00:00"/>
    <x v="10"/>
    <x v="2"/>
    <n v="92"/>
    <n v="80"/>
    <n v="29"/>
    <n v="19"/>
    <n v="42.2"/>
    <n v="0.23699999999999999"/>
    <n v="29"/>
    <n v="0"/>
    <x v="1"/>
    <x v="0"/>
  </r>
  <r>
    <n v="4960"/>
    <x v="0"/>
    <d v="2022-08-16T00:00:00"/>
    <x v="9"/>
    <x v="3"/>
    <n v="137"/>
    <n v="84"/>
    <n v="29"/>
    <n v="19"/>
    <n v="31.2"/>
    <n v="0.252"/>
    <n v="30"/>
    <n v="0"/>
    <x v="1"/>
    <x v="0"/>
  </r>
  <r>
    <n v="9122"/>
    <x v="1"/>
    <d v="2024-07-08T00:00:00"/>
    <x v="0"/>
    <x v="0"/>
    <n v="90"/>
    <n v="62"/>
    <n v="12"/>
    <n v="43"/>
    <n v="27.2"/>
    <n v="0.57999999999999996"/>
    <n v="24"/>
    <n v="0"/>
    <x v="1"/>
    <x v="0"/>
  </r>
  <r>
    <n v="5885"/>
    <x v="1"/>
    <d v="2022-03-09T00:00:00"/>
    <x v="1"/>
    <x v="3"/>
    <n v="90"/>
    <n v="78"/>
    <n v="29"/>
    <n v="19"/>
    <n v="42.7"/>
    <n v="0.55900000000000005"/>
    <n v="21"/>
    <n v="0"/>
    <x v="1"/>
    <x v="0"/>
  </r>
  <r>
    <n v="1142"/>
    <x v="1"/>
    <d v="2023-02-20T00:00:00"/>
    <x v="3"/>
    <x v="1"/>
    <n v="165"/>
    <n v="88"/>
    <n v="29"/>
    <n v="19"/>
    <n v="30.4"/>
    <n v="0.30199999999999999"/>
    <n v="49"/>
    <n v="1"/>
    <x v="0"/>
    <x v="2"/>
  </r>
  <r>
    <n v="8004"/>
    <x v="1"/>
    <d v="2022-07-16T00:00:00"/>
    <x v="0"/>
    <x v="3"/>
    <n v="125"/>
    <n v="50"/>
    <n v="40"/>
    <n v="167"/>
    <n v="33.299999999999997"/>
    <n v="0.96199999999999997"/>
    <n v="28"/>
    <n v="1"/>
    <x v="0"/>
    <x v="0"/>
  </r>
  <r>
    <n v="3467"/>
    <x v="0"/>
    <d v="2024-05-30T00:00:00"/>
    <x v="11"/>
    <x v="0"/>
    <n v="88"/>
    <n v="74"/>
    <n v="40"/>
    <n v="54"/>
    <n v="35.299999999999997"/>
    <n v="0.378"/>
    <n v="48"/>
    <n v="0"/>
    <x v="1"/>
    <x v="2"/>
  </r>
  <r>
    <n v="6647"/>
    <x v="1"/>
    <d v="2022-10-26T00:00:00"/>
    <x v="7"/>
    <x v="3"/>
    <n v="196"/>
    <n v="76"/>
    <n v="36"/>
    <n v="249"/>
    <n v="36.5"/>
    <n v="0.875"/>
    <n v="29"/>
    <n v="1"/>
    <x v="0"/>
    <x v="0"/>
  </r>
  <r>
    <n v="9814"/>
    <x v="1"/>
    <d v="2024-07-15T00:00:00"/>
    <x v="0"/>
    <x v="0"/>
    <n v="189"/>
    <n v="64"/>
    <n v="33"/>
    <n v="325"/>
    <n v="31.2"/>
    <n v="0.58299999999999996"/>
    <n v="29"/>
    <n v="1"/>
    <x v="0"/>
    <x v="0"/>
  </r>
  <r>
    <n v="2919"/>
    <x v="1"/>
    <d v="2021-12-08T00:00:00"/>
    <x v="10"/>
    <x v="2"/>
    <n v="158"/>
    <n v="70"/>
    <n v="29"/>
    <n v="19"/>
    <n v="29.8"/>
    <n v="0.20699999999999999"/>
    <n v="63"/>
    <n v="0"/>
    <x v="1"/>
    <x v="1"/>
  </r>
  <r>
    <n v="7320"/>
    <x v="0"/>
    <d v="2023-05-14T00:00:00"/>
    <x v="11"/>
    <x v="1"/>
    <n v="146"/>
    <n v="78"/>
    <n v="7"/>
    <n v="19"/>
    <n v="38.5"/>
    <n v="0.52"/>
    <n v="67"/>
    <n v="1"/>
    <x v="0"/>
    <x v="3"/>
  </r>
  <r>
    <n v="5433"/>
    <x v="0"/>
    <d v="2022-05-04T00:00:00"/>
    <x v="11"/>
    <x v="3"/>
    <n v="147"/>
    <n v="74"/>
    <n v="25"/>
    <n v="293"/>
    <n v="34.9"/>
    <n v="0.38500000000000001"/>
    <n v="30"/>
    <n v="0"/>
    <x v="1"/>
    <x v="0"/>
  </r>
  <r>
    <n v="9602"/>
    <x v="1"/>
    <d v="2024-08-01T00:00:00"/>
    <x v="9"/>
    <x v="0"/>
    <n v="99"/>
    <n v="54"/>
    <n v="28"/>
    <n v="83"/>
    <n v="34"/>
    <n v="0.499"/>
    <n v="30"/>
    <n v="0"/>
    <x v="1"/>
    <x v="0"/>
  </r>
  <r>
    <n v="4860"/>
    <x v="0"/>
    <d v="2023-07-03T00:00:00"/>
    <x v="0"/>
    <x v="1"/>
    <n v="124"/>
    <n v="72"/>
    <n v="7"/>
    <n v="19"/>
    <n v="27.6"/>
    <n v="0.36799999999999999"/>
    <n v="29"/>
    <n v="1"/>
    <x v="0"/>
    <x v="0"/>
  </r>
  <r>
    <n v="8896"/>
    <x v="1"/>
    <d v="2021-07-18T00:00:00"/>
    <x v="0"/>
    <x v="2"/>
    <n v="81"/>
    <n v="86"/>
    <n v="16"/>
    <n v="66"/>
    <n v="27.5"/>
    <n v="0.30599999999999999"/>
    <n v="22"/>
    <n v="0"/>
    <x v="1"/>
    <x v="0"/>
  </r>
  <r>
    <n v="9464"/>
    <x v="1"/>
    <d v="2021-10-18T00:00:00"/>
    <x v="7"/>
    <x v="2"/>
    <n v="133"/>
    <n v="102"/>
    <n v="28"/>
    <n v="140"/>
    <n v="32.799999999999997"/>
    <n v="0.23400000000000001"/>
    <n v="45"/>
    <n v="1"/>
    <x v="0"/>
    <x v="2"/>
  </r>
  <r>
    <n v="4280"/>
    <x v="1"/>
    <d v="2022-11-06T00:00:00"/>
    <x v="4"/>
    <x v="3"/>
    <n v="173"/>
    <n v="82"/>
    <n v="48"/>
    <n v="465"/>
    <n v="38.4"/>
    <n v="2.137"/>
    <n v="25"/>
    <n v="1"/>
    <x v="0"/>
    <x v="0"/>
  </r>
  <r>
    <n v="7875"/>
    <x v="0"/>
    <d v="2022-12-09T00:00:00"/>
    <x v="10"/>
    <x v="3"/>
    <n v="84"/>
    <n v="64"/>
    <n v="22"/>
    <n v="66"/>
    <n v="35.799999999999997"/>
    <n v="0.54500000000000004"/>
    <n v="21"/>
    <n v="0"/>
    <x v="1"/>
    <x v="0"/>
  </r>
  <r>
    <n v="7419"/>
    <x v="0"/>
    <d v="2023-02-01T00:00:00"/>
    <x v="3"/>
    <x v="1"/>
    <n v="105"/>
    <n v="58"/>
    <n v="40"/>
    <n v="94"/>
    <n v="34.9"/>
    <n v="0.22500000000000001"/>
    <n v="25"/>
    <n v="0"/>
    <x v="1"/>
    <x v="0"/>
  </r>
  <r>
    <n v="8914"/>
    <x v="0"/>
    <d v="2021-02-21T00:00:00"/>
    <x v="3"/>
    <x v="2"/>
    <n v="122"/>
    <n v="52"/>
    <n v="43"/>
    <n v="158"/>
    <n v="36.200000000000003"/>
    <n v="0.81599999999999995"/>
    <n v="28"/>
    <n v="0"/>
    <x v="1"/>
    <x v="0"/>
  </r>
  <r>
    <n v="5214"/>
    <x v="0"/>
    <d v="2023-01-17T00:00:00"/>
    <x v="6"/>
    <x v="1"/>
    <n v="140"/>
    <n v="82"/>
    <n v="43"/>
    <n v="325"/>
    <n v="39.200000000000003"/>
    <n v="0.52800000000000002"/>
    <n v="58"/>
    <n v="1"/>
    <x v="0"/>
    <x v="1"/>
  </r>
  <r>
    <n v="1857"/>
    <x v="0"/>
    <d v="2024-12-09T00:00:00"/>
    <x v="10"/>
    <x v="0"/>
    <n v="98"/>
    <n v="82"/>
    <n v="15"/>
    <n v="84"/>
    <n v="25.2"/>
    <n v="0.29899999999999999"/>
    <n v="22"/>
    <n v="0"/>
    <x v="1"/>
    <x v="0"/>
  </r>
  <r>
    <n v="8332"/>
    <x v="1"/>
    <d v="2024-07-02T00:00:00"/>
    <x v="0"/>
    <x v="0"/>
    <n v="87"/>
    <n v="60"/>
    <n v="37"/>
    <n v="75"/>
    <n v="37.200000000000003"/>
    <n v="0.50900000000000001"/>
    <n v="22"/>
    <n v="0"/>
    <x v="1"/>
    <x v="0"/>
  </r>
  <r>
    <n v="7381"/>
    <x v="0"/>
    <d v="2021-12-03T00:00:00"/>
    <x v="10"/>
    <x v="2"/>
    <n v="156"/>
    <n v="75"/>
    <n v="7"/>
    <n v="19"/>
    <n v="48.3"/>
    <n v="0.23799999999999999"/>
    <n v="32"/>
    <n v="1"/>
    <x v="0"/>
    <x v="0"/>
  </r>
  <r>
    <n v="3273"/>
    <x v="0"/>
    <d v="2022-11-10T00:00:00"/>
    <x v="4"/>
    <x v="3"/>
    <n v="93"/>
    <n v="100"/>
    <n v="39"/>
    <n v="72"/>
    <n v="43.4"/>
    <n v="1.0209999999999999"/>
    <n v="35"/>
    <n v="0"/>
    <x v="1"/>
    <x v="0"/>
  </r>
  <r>
    <n v="4590"/>
    <x v="1"/>
    <d v="2022-06-30T00:00:00"/>
    <x v="5"/>
    <x v="3"/>
    <n v="107"/>
    <n v="72"/>
    <n v="30"/>
    <n v="82"/>
    <n v="30.8"/>
    <n v="0.82099999999999995"/>
    <n v="24"/>
    <n v="0"/>
    <x v="1"/>
    <x v="0"/>
  </r>
  <r>
    <n v="2668"/>
    <x v="1"/>
    <d v="2021-01-12T00:00:00"/>
    <x v="6"/>
    <x v="2"/>
    <n v="109"/>
    <n v="60"/>
    <n v="8"/>
    <n v="182"/>
    <n v="25.4"/>
    <n v="0.94699999999999995"/>
    <n v="21"/>
    <n v="0"/>
    <x v="1"/>
    <x v="0"/>
  </r>
  <r>
    <n v="7140"/>
    <x v="1"/>
    <d v="2021-03-23T00:00:00"/>
    <x v="1"/>
    <x v="2"/>
    <n v="90"/>
    <n v="62"/>
    <n v="18"/>
    <n v="59"/>
    <n v="25.1"/>
    <n v="1.268"/>
    <n v="25"/>
    <n v="0"/>
    <x v="1"/>
    <x v="0"/>
  </r>
  <r>
    <n v="2599"/>
    <x v="1"/>
    <d v="2021-01-15T00:00:00"/>
    <x v="6"/>
    <x v="2"/>
    <n v="125"/>
    <n v="70"/>
    <n v="24"/>
    <n v="110"/>
    <n v="24.3"/>
    <n v="0.221"/>
    <n v="25"/>
    <n v="0"/>
    <x v="1"/>
    <x v="0"/>
  </r>
  <r>
    <n v="3872"/>
    <x v="1"/>
    <d v="2024-03-29T00:00:00"/>
    <x v="1"/>
    <x v="0"/>
    <n v="119"/>
    <n v="54"/>
    <n v="13"/>
    <n v="50"/>
    <n v="22.3"/>
    <n v="0.20499999999999999"/>
    <n v="24"/>
    <n v="0"/>
    <x v="1"/>
    <x v="0"/>
  </r>
  <r>
    <n v="2545"/>
    <x v="1"/>
    <d v="2022-09-08T00:00:00"/>
    <x v="2"/>
    <x v="3"/>
    <n v="144"/>
    <n v="82"/>
    <n v="26"/>
    <n v="285"/>
    <n v="32"/>
    <n v="0.45200000000000001"/>
    <n v="58"/>
    <n v="1"/>
    <x v="0"/>
    <x v="1"/>
  </r>
  <r>
    <n v="7932"/>
    <x v="1"/>
    <d v="2021-10-02T00:00:00"/>
    <x v="7"/>
    <x v="2"/>
    <n v="100"/>
    <n v="68"/>
    <n v="23"/>
    <n v="81"/>
    <n v="31.6"/>
    <n v="0.94899999999999995"/>
    <n v="28"/>
    <n v="0"/>
    <x v="1"/>
    <x v="0"/>
  </r>
  <r>
    <n v="1606"/>
    <x v="1"/>
    <d v="2024-03-13T00:00:00"/>
    <x v="1"/>
    <x v="0"/>
    <n v="100"/>
    <n v="66"/>
    <n v="29"/>
    <n v="196"/>
    <n v="32"/>
    <n v="0.44400000000000001"/>
    <n v="42"/>
    <n v="0"/>
    <x v="1"/>
    <x v="2"/>
  </r>
  <r>
    <n v="2163"/>
    <x v="1"/>
    <d v="2023-07-27T00:00:00"/>
    <x v="0"/>
    <x v="1"/>
    <n v="166"/>
    <n v="76"/>
    <n v="7"/>
    <n v="19"/>
    <n v="45.7"/>
    <n v="0.34"/>
    <n v="27"/>
    <n v="1"/>
    <x v="0"/>
    <x v="0"/>
  </r>
  <r>
    <n v="5571"/>
    <x v="1"/>
    <d v="2024-10-20T00:00:00"/>
    <x v="7"/>
    <x v="0"/>
    <n v="131"/>
    <n v="64"/>
    <n v="14"/>
    <n v="415"/>
    <n v="23.7"/>
    <n v="0.38900000000000001"/>
    <n v="21"/>
    <n v="0"/>
    <x v="1"/>
    <x v="0"/>
  </r>
  <r>
    <n v="3776"/>
    <x v="0"/>
    <d v="2023-09-27T00:00:00"/>
    <x v="2"/>
    <x v="1"/>
    <n v="116"/>
    <n v="72"/>
    <n v="12"/>
    <n v="87"/>
    <n v="22.1"/>
    <n v="0.46300000000000002"/>
    <n v="37"/>
    <n v="0"/>
    <x v="1"/>
    <x v="2"/>
  </r>
  <r>
    <n v="4946"/>
    <x v="0"/>
    <d v="2022-02-21T00:00:00"/>
    <x v="3"/>
    <x v="3"/>
    <n v="158"/>
    <n v="78"/>
    <n v="7"/>
    <n v="19"/>
    <n v="32.9"/>
    <n v="0.80300000000000005"/>
    <n v="31"/>
    <n v="1"/>
    <x v="0"/>
    <x v="0"/>
  </r>
  <r>
    <n v="7742"/>
    <x v="0"/>
    <d v="2023-06-30T00:00:00"/>
    <x v="5"/>
    <x v="1"/>
    <n v="127"/>
    <n v="58"/>
    <n v="24"/>
    <n v="275"/>
    <n v="27.7"/>
    <n v="1.6"/>
    <n v="25"/>
    <n v="0"/>
    <x v="1"/>
    <x v="0"/>
  </r>
  <r>
    <n v="8499"/>
    <x v="1"/>
    <d v="2023-06-27T00:00:00"/>
    <x v="5"/>
    <x v="1"/>
    <n v="96"/>
    <n v="56"/>
    <n v="34"/>
    <n v="115"/>
    <n v="24.7"/>
    <n v="0.94399999999999995"/>
    <n v="39"/>
    <n v="0"/>
    <x v="1"/>
    <x v="2"/>
  </r>
  <r>
    <n v="1265"/>
    <x v="1"/>
    <d v="2024-01-06T00:00:00"/>
    <x v="6"/>
    <x v="0"/>
    <n v="82"/>
    <n v="70"/>
    <n v="7"/>
    <n v="19"/>
    <n v="21.1"/>
    <n v="0.38900000000000001"/>
    <n v="25"/>
    <n v="0"/>
    <x v="1"/>
    <x v="0"/>
  </r>
  <r>
    <n v="5755"/>
    <x v="0"/>
    <d v="2024-02-07T00:00:00"/>
    <x v="3"/>
    <x v="0"/>
    <n v="95"/>
    <n v="64"/>
    <n v="7"/>
    <n v="9"/>
    <n v="32"/>
    <n v="0.161"/>
    <n v="31"/>
    <n v="1"/>
    <x v="0"/>
    <x v="0"/>
  </r>
  <r>
    <n v="3606"/>
    <x v="0"/>
    <d v="2024-03-09T00:00:00"/>
    <x v="1"/>
    <x v="0"/>
    <n v="137"/>
    <n v="61"/>
    <n v="7"/>
    <n v="9"/>
    <n v="24.2"/>
    <n v="0.151"/>
    <n v="55"/>
    <n v="0"/>
    <x v="1"/>
    <x v="1"/>
  </r>
  <r>
    <n v="8086"/>
    <x v="1"/>
    <d v="2021-05-18T00:00:00"/>
    <x v="11"/>
    <x v="2"/>
    <n v="136"/>
    <n v="84"/>
    <n v="41"/>
    <n v="88"/>
    <n v="35"/>
    <n v="0.28599999999999998"/>
    <n v="35"/>
    <n v="1"/>
    <x v="0"/>
    <x v="0"/>
  </r>
  <r>
    <n v="7184"/>
    <x v="1"/>
    <d v="2022-05-24T00:00:00"/>
    <x v="11"/>
    <x v="3"/>
    <n v="168"/>
    <n v="64"/>
    <n v="7"/>
    <n v="9"/>
    <n v="32.9"/>
    <n v="0.13500000000000001"/>
    <n v="41"/>
    <n v="1"/>
    <x v="0"/>
    <x v="2"/>
  </r>
  <r>
    <n v="8194"/>
    <x v="0"/>
    <d v="2022-01-10T00:00:00"/>
    <x v="6"/>
    <x v="3"/>
    <n v="123"/>
    <n v="48"/>
    <n v="32"/>
    <n v="165"/>
    <n v="42.1"/>
    <n v="0.52"/>
    <n v="26"/>
    <n v="0"/>
    <x v="1"/>
    <x v="0"/>
  </r>
  <r>
    <n v="1427"/>
    <x v="0"/>
    <d v="2023-11-15T00:00:00"/>
    <x v="4"/>
    <x v="1"/>
    <n v="115"/>
    <n v="72"/>
    <n v="7"/>
    <n v="9"/>
    <n v="28.9"/>
    <n v="0.376"/>
    <n v="46"/>
    <n v="1"/>
    <x v="0"/>
    <x v="2"/>
  </r>
  <r>
    <n v="2022"/>
    <x v="0"/>
    <d v="2024-06-14T00:00:00"/>
    <x v="5"/>
    <x v="0"/>
    <n v="101"/>
    <n v="62"/>
    <n v="7"/>
    <n v="9"/>
    <n v="21.9"/>
    <n v="0.33600000000000002"/>
    <n v="25"/>
    <n v="0"/>
    <x v="1"/>
    <x v="0"/>
  </r>
  <r>
    <n v="1222"/>
    <x v="0"/>
    <d v="2023-08-29T00:00:00"/>
    <x v="9"/>
    <x v="1"/>
    <n v="197"/>
    <n v="74"/>
    <n v="7"/>
    <n v="9"/>
    <n v="25.9"/>
    <n v="1.1910000000000001"/>
    <n v="39"/>
    <n v="1"/>
    <x v="0"/>
    <x v="2"/>
  </r>
  <r>
    <n v="4772"/>
    <x v="1"/>
    <d v="2022-07-12T00:00:00"/>
    <x v="0"/>
    <x v="3"/>
    <n v="172"/>
    <n v="68"/>
    <n v="49"/>
    <n v="579"/>
    <n v="42.4"/>
    <n v="0.70199999999999996"/>
    <n v="28"/>
    <n v="1"/>
    <x v="0"/>
    <x v="0"/>
  </r>
  <r>
    <n v="1355"/>
    <x v="1"/>
    <d v="2024-10-06T00:00:00"/>
    <x v="7"/>
    <x v="0"/>
    <n v="112"/>
    <n v="72"/>
    <n v="30"/>
    <n v="176"/>
    <n v="34.4"/>
    <n v="0.52800000000000002"/>
    <n v="25"/>
    <n v="0"/>
    <x v="1"/>
    <x v="0"/>
  </r>
  <r>
    <n v="7492"/>
    <x v="1"/>
    <d v="2023-12-31T00:00:00"/>
    <x v="10"/>
    <x v="1"/>
    <n v="143"/>
    <n v="84"/>
    <n v="23"/>
    <n v="310"/>
    <n v="42.4"/>
    <n v="1.0760000000000001"/>
    <n v="22"/>
    <n v="0"/>
    <x v="1"/>
    <x v="0"/>
  </r>
  <r>
    <n v="5607"/>
    <x v="1"/>
    <d v="2024-07-15T00:00:00"/>
    <x v="0"/>
    <x v="0"/>
    <n v="143"/>
    <n v="74"/>
    <n v="22"/>
    <n v="61"/>
    <n v="26.2"/>
    <n v="0.25600000000000001"/>
    <n v="21"/>
    <n v="0"/>
    <x v="1"/>
    <x v="0"/>
  </r>
  <r>
    <n v="3849"/>
    <x v="0"/>
    <d v="2024-12-06T00:00:00"/>
    <x v="10"/>
    <x v="0"/>
    <n v="138"/>
    <n v="60"/>
    <n v="35"/>
    <n v="167"/>
    <n v="34.6"/>
    <n v="0.53400000000000003"/>
    <n v="21"/>
    <n v="1"/>
    <x v="0"/>
    <x v="0"/>
  </r>
  <r>
    <n v="8437"/>
    <x v="1"/>
    <d v="2021-05-11T00:00:00"/>
    <x v="11"/>
    <x v="2"/>
    <n v="173"/>
    <n v="84"/>
    <n v="33"/>
    <n v="474"/>
    <n v="35.700000000000003"/>
    <n v="0.25800000000000001"/>
    <n v="22"/>
    <n v="1"/>
    <x v="0"/>
    <x v="0"/>
  </r>
  <r>
    <n v="2738"/>
    <x v="1"/>
    <d v="2023-03-30T00:00:00"/>
    <x v="1"/>
    <x v="1"/>
    <n v="83"/>
    <n v="68"/>
    <n v="7"/>
    <n v="9"/>
    <n v="18.2"/>
    <n v="0.624"/>
    <n v="27"/>
    <n v="0"/>
    <x v="1"/>
    <x v="0"/>
  </r>
  <r>
    <n v="6911"/>
    <x v="1"/>
    <d v="2021-03-30T00:00:00"/>
    <x v="1"/>
    <x v="2"/>
    <n v="129"/>
    <n v="64"/>
    <n v="29"/>
    <n v="115"/>
    <n v="26.4"/>
    <n v="0.219"/>
    <n v="28"/>
    <n v="1"/>
    <x v="0"/>
    <x v="0"/>
  </r>
  <r>
    <n v="3344"/>
    <x v="1"/>
    <d v="2024-05-18T00:00:00"/>
    <x v="11"/>
    <x v="0"/>
    <n v="119"/>
    <n v="88"/>
    <n v="41"/>
    <n v="170"/>
    <n v="45.3"/>
    <n v="0.50700000000000001"/>
    <n v="26"/>
    <n v="0"/>
    <x v="1"/>
    <x v="0"/>
  </r>
  <r>
    <n v="8119"/>
    <x v="0"/>
    <d v="2023-10-16T00:00:00"/>
    <x v="7"/>
    <x v="1"/>
    <n v="94"/>
    <n v="68"/>
    <n v="18"/>
    <n v="76"/>
    <n v="26"/>
    <n v="0.56100000000000005"/>
    <n v="21"/>
    <n v="0"/>
    <x v="1"/>
    <x v="0"/>
  </r>
  <r>
    <n v="9105"/>
    <x v="0"/>
    <d v="2023-08-02T00:00:00"/>
    <x v="9"/>
    <x v="1"/>
    <n v="102"/>
    <n v="64"/>
    <n v="46"/>
    <n v="78"/>
    <n v="40.6"/>
    <n v="0.496"/>
    <n v="21"/>
    <n v="0"/>
    <x v="1"/>
    <x v="0"/>
  </r>
  <r>
    <n v="5090"/>
    <x v="0"/>
    <d v="2024-11-26T00:00:00"/>
    <x v="4"/>
    <x v="0"/>
    <n v="151"/>
    <n v="78"/>
    <n v="32"/>
    <n v="210"/>
    <n v="42.9"/>
    <n v="0.51600000000000001"/>
    <n v="36"/>
    <n v="1"/>
    <x v="0"/>
    <x v="2"/>
  </r>
  <r>
    <n v="7370"/>
    <x v="0"/>
    <d v="2023-05-13T00:00:00"/>
    <x v="11"/>
    <x v="1"/>
    <n v="184"/>
    <n v="78"/>
    <n v="39"/>
    <n v="277"/>
    <n v="37"/>
    <n v="0.26400000000000001"/>
    <n v="31"/>
    <n v="1"/>
    <x v="0"/>
    <x v="0"/>
  </r>
  <r>
    <n v="4196"/>
    <x v="1"/>
    <d v="2021-04-06T00:00:00"/>
    <x v="8"/>
    <x v="2"/>
    <n v="181"/>
    <n v="64"/>
    <n v="30"/>
    <n v="180"/>
    <n v="34.1"/>
    <n v="0.32800000000000001"/>
    <n v="38"/>
    <n v="1"/>
    <x v="0"/>
    <x v="2"/>
  </r>
  <r>
    <n v="4382"/>
    <x v="0"/>
    <d v="2023-07-27T00:00:00"/>
    <x v="0"/>
    <x v="1"/>
    <n v="135"/>
    <n v="94"/>
    <n v="46"/>
    <n v="145"/>
    <n v="40.6"/>
    <n v="0.28399999999999997"/>
    <n v="26"/>
    <n v="0"/>
    <x v="1"/>
    <x v="0"/>
  </r>
  <r>
    <n v="9852"/>
    <x v="1"/>
    <d v="2022-01-02T00:00:00"/>
    <x v="6"/>
    <x v="3"/>
    <n v="95"/>
    <n v="82"/>
    <n v="25"/>
    <n v="180"/>
    <n v="35"/>
    <n v="0.23300000000000001"/>
    <n v="43"/>
    <n v="1"/>
    <x v="0"/>
    <x v="2"/>
  </r>
  <r>
    <n v="7649"/>
    <x v="1"/>
    <d v="2021-01-13T00:00:00"/>
    <x v="6"/>
    <x v="2"/>
    <n v="89"/>
    <n v="74"/>
    <n v="16"/>
    <n v="85"/>
    <n v="30.4"/>
    <n v="0.55100000000000005"/>
    <n v="38"/>
    <n v="0"/>
    <x v="1"/>
    <x v="2"/>
  </r>
  <r>
    <n v="3185"/>
    <x v="1"/>
    <d v="2023-09-21T00:00:00"/>
    <x v="2"/>
    <x v="1"/>
    <n v="80"/>
    <n v="74"/>
    <n v="11"/>
    <n v="60"/>
    <n v="30"/>
    <n v="0.52700000000000002"/>
    <n v="22"/>
    <n v="0"/>
    <x v="1"/>
    <x v="0"/>
  </r>
  <r>
    <n v="3053"/>
    <x v="0"/>
    <d v="2024-10-24T00:00:00"/>
    <x v="7"/>
    <x v="0"/>
    <n v="139"/>
    <n v="75"/>
    <n v="7"/>
    <n v="9"/>
    <n v="25.6"/>
    <n v="0.16700000000000001"/>
    <n v="29"/>
    <n v="0"/>
    <x v="1"/>
    <x v="0"/>
  </r>
  <r>
    <n v="8166"/>
    <x v="1"/>
    <d v="2024-01-27T00:00:00"/>
    <x v="6"/>
    <x v="0"/>
    <n v="147"/>
    <n v="75"/>
    <n v="7"/>
    <n v="9"/>
    <n v="29.9"/>
    <n v="0.434"/>
    <n v="28"/>
    <n v="0"/>
    <x v="1"/>
    <x v="0"/>
  </r>
  <r>
    <n v="1938"/>
    <x v="0"/>
    <d v="2024-03-09T00:00:00"/>
    <x v="1"/>
    <x v="0"/>
    <n v="107"/>
    <n v="88"/>
    <n v="7"/>
    <n v="9"/>
    <n v="36.799999999999997"/>
    <n v="0.72699999999999998"/>
    <n v="31"/>
    <n v="0"/>
    <x v="1"/>
    <x v="0"/>
  </r>
  <r>
    <n v="4143"/>
    <x v="0"/>
    <d v="2022-09-13T00:00:00"/>
    <x v="2"/>
    <x v="3"/>
    <n v="83"/>
    <n v="66"/>
    <n v="23"/>
    <n v="50"/>
    <n v="32.200000000000003"/>
    <n v="0.497"/>
    <n v="22"/>
    <n v="0"/>
    <x v="1"/>
    <x v="0"/>
  </r>
  <r>
    <n v="3649"/>
    <x v="0"/>
    <d v="2021-09-20T00:00:00"/>
    <x v="2"/>
    <x v="2"/>
    <n v="117"/>
    <n v="64"/>
    <n v="27"/>
    <n v="120"/>
    <n v="33.200000000000003"/>
    <n v="0.23"/>
    <n v="24"/>
    <n v="0"/>
    <x v="1"/>
    <x v="0"/>
  </r>
  <r>
    <n v="3585"/>
    <x v="0"/>
    <d v="2021-08-04T00:00:00"/>
    <x v="9"/>
    <x v="2"/>
    <n v="108"/>
    <n v="70"/>
    <n v="8"/>
    <n v="9"/>
    <n v="30.5"/>
    <n v="0.95499999999999996"/>
    <n v="33"/>
    <n v="1"/>
    <x v="0"/>
    <x v="0"/>
  </r>
  <r>
    <n v="7613"/>
    <x v="0"/>
    <d v="2024-01-26T00:00:00"/>
    <x v="6"/>
    <x v="0"/>
    <n v="180"/>
    <n v="78"/>
    <n v="63"/>
    <n v="14"/>
    <n v="59.4"/>
    <n v="2.42"/>
    <n v="25"/>
    <n v="1"/>
    <x v="0"/>
    <x v="0"/>
  </r>
  <r>
    <n v="4192"/>
    <x v="1"/>
    <d v="2024-04-12T00:00:00"/>
    <x v="8"/>
    <x v="0"/>
    <n v="100"/>
    <n v="72"/>
    <n v="12"/>
    <n v="70"/>
    <n v="25.3"/>
    <n v="0.65800000000000003"/>
    <n v="28"/>
    <n v="0"/>
    <x v="1"/>
    <x v="0"/>
  </r>
  <r>
    <n v="4756"/>
    <x v="0"/>
    <d v="2021-07-09T00:00:00"/>
    <x v="0"/>
    <x v="2"/>
    <n v="95"/>
    <n v="80"/>
    <n v="45"/>
    <n v="92"/>
    <n v="36.5"/>
    <n v="0.33"/>
    <n v="26"/>
    <n v="0"/>
    <x v="1"/>
    <x v="0"/>
  </r>
  <r>
    <n v="7600"/>
    <x v="0"/>
    <d v="2021-05-20T00:00:00"/>
    <x v="11"/>
    <x v="2"/>
    <n v="104"/>
    <n v="64"/>
    <n v="37"/>
    <n v="64"/>
    <n v="33.6"/>
    <n v="0.51"/>
    <n v="22"/>
    <n v="1"/>
    <x v="0"/>
    <x v="0"/>
  </r>
  <r>
    <n v="7394"/>
    <x v="0"/>
    <d v="2021-01-01T00:00:00"/>
    <x v="6"/>
    <x v="2"/>
    <n v="120"/>
    <n v="74"/>
    <n v="18"/>
    <n v="63"/>
    <n v="30.5"/>
    <n v="0.28499999999999998"/>
    <n v="26"/>
    <n v="0"/>
    <x v="1"/>
    <x v="0"/>
  </r>
  <r>
    <n v="9652"/>
    <x v="1"/>
    <d v="2023-09-15T00:00:00"/>
    <x v="2"/>
    <x v="1"/>
    <n v="82"/>
    <n v="64"/>
    <n v="13"/>
    <n v="95"/>
    <n v="21.2"/>
    <n v="0.41499999999999998"/>
    <n v="23"/>
    <n v="0"/>
    <x v="1"/>
    <x v="0"/>
  </r>
  <r>
    <n v="7455"/>
    <x v="0"/>
    <d v="2023-04-29T00:00:00"/>
    <x v="8"/>
    <x v="1"/>
    <n v="134"/>
    <n v="70"/>
    <n v="8"/>
    <n v="9"/>
    <n v="28.9"/>
    <n v="0.54200000000000004"/>
    <n v="23"/>
    <n v="1"/>
    <x v="0"/>
    <x v="0"/>
  </r>
  <r>
    <n v="6740"/>
    <x v="0"/>
    <d v="2022-03-25T00:00:00"/>
    <x v="1"/>
    <x v="3"/>
    <n v="91"/>
    <n v="68"/>
    <n v="32"/>
    <n v="210"/>
    <n v="39.9"/>
    <n v="0.38100000000000001"/>
    <n v="25"/>
    <n v="0"/>
    <x v="1"/>
    <x v="0"/>
  </r>
  <r>
    <n v="1368"/>
    <x v="0"/>
    <d v="2021-12-31T00:00:00"/>
    <x v="10"/>
    <x v="2"/>
    <n v="100"/>
    <n v="54"/>
    <n v="28"/>
    <n v="105"/>
    <n v="37.799999999999997"/>
    <n v="0.498"/>
    <n v="24"/>
    <n v="0"/>
    <x v="1"/>
    <x v="0"/>
  </r>
  <r>
    <n v="2838"/>
    <x v="1"/>
    <d v="2024-06-22T00:00:00"/>
    <x v="5"/>
    <x v="0"/>
    <n v="135"/>
    <n v="54"/>
    <n v="8"/>
    <n v="9"/>
    <n v="26.7"/>
    <n v="0.68700000000000006"/>
    <n v="62"/>
    <n v="0"/>
    <x v="1"/>
    <x v="1"/>
  </r>
  <r>
    <n v="4024"/>
    <x v="1"/>
    <d v="2023-02-05T00:00:00"/>
    <x v="3"/>
    <x v="1"/>
    <n v="86"/>
    <n v="68"/>
    <n v="28"/>
    <n v="71"/>
    <n v="30.2"/>
    <n v="0.36399999999999999"/>
    <n v="24"/>
    <n v="0"/>
    <x v="1"/>
    <x v="0"/>
  </r>
  <r>
    <n v="3625"/>
    <x v="0"/>
    <d v="2021-03-23T00:00:00"/>
    <x v="1"/>
    <x v="2"/>
    <n v="148"/>
    <n v="84"/>
    <n v="48"/>
    <n v="237"/>
    <n v="37.6"/>
    <n v="1.0009999999999999"/>
    <n v="51"/>
    <n v="1"/>
    <x v="0"/>
    <x v="1"/>
  </r>
  <r>
    <n v="5302"/>
    <x v="1"/>
    <d v="2024-09-18T00:00:00"/>
    <x v="2"/>
    <x v="0"/>
    <n v="134"/>
    <n v="74"/>
    <n v="33"/>
    <n v="60"/>
    <n v="25.9"/>
    <n v="0.46"/>
    <n v="81"/>
    <n v="0"/>
    <x v="1"/>
    <x v="3"/>
  </r>
  <r>
    <n v="1381"/>
    <x v="1"/>
    <d v="2022-07-16T00:00:00"/>
    <x v="0"/>
    <x v="3"/>
    <n v="120"/>
    <n v="72"/>
    <n v="22"/>
    <n v="56"/>
    <n v="20.8"/>
    <n v="0.73299999999999998"/>
    <n v="48"/>
    <n v="0"/>
    <x v="1"/>
    <x v="2"/>
  </r>
  <r>
    <n v="7229"/>
    <x v="1"/>
    <d v="2022-05-22T00:00:00"/>
    <x v="11"/>
    <x v="3"/>
    <n v="71"/>
    <n v="62"/>
    <n v="8"/>
    <n v="9"/>
    <n v="21.8"/>
    <n v="0.41599999999999998"/>
    <n v="26"/>
    <n v="0"/>
    <x v="1"/>
    <x v="0"/>
  </r>
  <r>
    <n v="3822"/>
    <x v="0"/>
    <d v="2023-03-18T00:00:00"/>
    <x v="1"/>
    <x v="1"/>
    <n v="74"/>
    <n v="70"/>
    <n v="40"/>
    <n v="49"/>
    <n v="35.299999999999997"/>
    <n v="0.70499999999999996"/>
    <n v="39"/>
    <n v="0"/>
    <x v="1"/>
    <x v="2"/>
  </r>
  <r>
    <n v="3690"/>
    <x v="0"/>
    <d v="2023-03-31T00:00:00"/>
    <x v="1"/>
    <x v="1"/>
    <n v="115"/>
    <n v="98"/>
    <n v="8"/>
    <n v="9"/>
    <n v="24"/>
    <n v="1.022"/>
    <n v="34"/>
    <n v="0"/>
    <x v="1"/>
    <x v="0"/>
  </r>
  <r>
    <n v="9848"/>
    <x v="0"/>
    <d v="2024-10-24T00:00:00"/>
    <x v="7"/>
    <x v="0"/>
    <n v="124"/>
    <n v="56"/>
    <n v="13"/>
    <n v="105"/>
    <n v="21.8"/>
    <n v="0.45200000000000001"/>
    <n v="21"/>
    <n v="0"/>
    <x v="1"/>
    <x v="0"/>
  </r>
  <r>
    <n v="9037"/>
    <x v="0"/>
    <d v="2023-04-26T00:00:00"/>
    <x v="8"/>
    <x v="1"/>
    <n v="74"/>
    <n v="52"/>
    <n v="10"/>
    <n v="36"/>
    <n v="27.8"/>
    <n v="0.26900000000000002"/>
    <n v="22"/>
    <n v="0"/>
    <x v="1"/>
    <x v="0"/>
  </r>
  <r>
    <n v="2320"/>
    <x v="0"/>
    <d v="2022-09-25T00:00:00"/>
    <x v="2"/>
    <x v="3"/>
    <n v="97"/>
    <n v="64"/>
    <n v="36"/>
    <n v="100"/>
    <n v="36.799999999999997"/>
    <n v="0.6"/>
    <n v="25"/>
    <n v="0"/>
    <x v="1"/>
    <x v="0"/>
  </r>
  <r>
    <n v="5803"/>
    <x v="0"/>
    <d v="2024-11-28T00:00:00"/>
    <x v="4"/>
    <x v="0"/>
    <n v="154"/>
    <n v="78"/>
    <n v="41"/>
    <n v="140"/>
    <n v="46.1"/>
    <n v="0.57099999999999995"/>
    <n v="27"/>
    <n v="0"/>
    <x v="1"/>
    <x v="0"/>
  </r>
  <r>
    <n v="2415"/>
    <x v="1"/>
    <d v="2022-09-11T00:00:00"/>
    <x v="2"/>
    <x v="3"/>
    <n v="136"/>
    <n v="90"/>
    <n v="8"/>
    <n v="9"/>
    <n v="29.9"/>
    <n v="0.21"/>
    <n v="50"/>
    <n v="0"/>
    <x v="1"/>
    <x v="2"/>
  </r>
  <r>
    <n v="6384"/>
    <x v="0"/>
    <d v="2021-11-18T00:00:00"/>
    <x v="4"/>
    <x v="2"/>
    <n v="114"/>
    <n v="64"/>
    <n v="8"/>
    <n v="9"/>
    <n v="28.9"/>
    <n v="0.126"/>
    <n v="24"/>
    <n v="0"/>
    <x v="1"/>
    <x v="0"/>
  </r>
  <r>
    <n v="9187"/>
    <x v="0"/>
    <d v="2021-02-03T00:00:00"/>
    <x v="3"/>
    <x v="2"/>
    <n v="105"/>
    <n v="80"/>
    <n v="45"/>
    <n v="191"/>
    <n v="33.700000000000003"/>
    <n v="0.71099999999999997"/>
    <n v="29"/>
    <n v="1"/>
    <x v="0"/>
    <x v="0"/>
  </r>
  <r>
    <n v="2776"/>
    <x v="1"/>
    <d v="2021-04-05T00:00:00"/>
    <x v="8"/>
    <x v="2"/>
    <n v="114"/>
    <n v="76"/>
    <n v="17"/>
    <n v="110"/>
    <n v="23.8"/>
    <n v="0.46600000000000003"/>
    <n v="31"/>
    <n v="0"/>
    <x v="1"/>
    <x v="0"/>
  </r>
  <r>
    <n v="8686"/>
    <x v="0"/>
    <d v="2022-04-27T00:00:00"/>
    <x v="8"/>
    <x v="3"/>
    <n v="126"/>
    <n v="74"/>
    <n v="38"/>
    <n v="75"/>
    <n v="25.9"/>
    <n v="0.16200000000000001"/>
    <n v="39"/>
    <n v="0"/>
    <x v="1"/>
    <x v="2"/>
  </r>
  <r>
    <n v="2898"/>
    <x v="1"/>
    <d v="2023-10-05T00:00:00"/>
    <x v="7"/>
    <x v="1"/>
    <n v="158"/>
    <n v="70"/>
    <n v="30"/>
    <n v="328"/>
    <n v="35.5"/>
    <n v="0.34399999999999997"/>
    <n v="35"/>
    <n v="1"/>
    <x v="0"/>
    <x v="0"/>
  </r>
  <r>
    <n v="9341"/>
    <x v="0"/>
    <d v="2024-06-22T00:00:00"/>
    <x v="5"/>
    <x v="0"/>
    <n v="85"/>
    <n v="58"/>
    <n v="22"/>
    <n v="49"/>
    <n v="27.8"/>
    <n v="0.30599999999999999"/>
    <n v="28"/>
    <n v="0"/>
    <x v="1"/>
    <x v="0"/>
  </r>
  <r>
    <n v="3108"/>
    <x v="0"/>
    <d v="2021-09-07T00:00:00"/>
    <x v="2"/>
    <x v="2"/>
    <n v="84"/>
    <n v="82"/>
    <n v="31"/>
    <n v="125"/>
    <n v="38.200000000000003"/>
    <n v="0.23300000000000001"/>
    <n v="23"/>
    <n v="0"/>
    <x v="1"/>
    <x v="0"/>
  </r>
  <r>
    <n v="1304"/>
    <x v="0"/>
    <d v="2024-11-15T00:00:00"/>
    <x v="4"/>
    <x v="0"/>
    <n v="135"/>
    <n v="68"/>
    <n v="42"/>
    <n v="250"/>
    <n v="42.3"/>
    <n v="0.36499999999999999"/>
    <n v="24"/>
    <n v="1"/>
    <x v="0"/>
    <x v="0"/>
  </r>
  <r>
    <n v="3147"/>
    <x v="1"/>
    <d v="2023-08-16T00:00:00"/>
    <x v="9"/>
    <x v="1"/>
    <n v="139"/>
    <n v="62"/>
    <n v="41"/>
    <n v="480"/>
    <n v="40.700000000000003"/>
    <n v="0.53600000000000003"/>
    <n v="21"/>
    <n v="0"/>
    <x v="1"/>
    <x v="0"/>
  </r>
  <r>
    <n v="1520"/>
    <x v="0"/>
    <d v="2024-02-12T00:00:00"/>
    <x v="3"/>
    <x v="0"/>
    <n v="173"/>
    <n v="78"/>
    <n v="32"/>
    <n v="265"/>
    <n v="46.5"/>
    <n v="1.159"/>
    <n v="58"/>
    <n v="0"/>
    <x v="1"/>
    <x v="1"/>
  </r>
  <r>
    <n v="2075"/>
    <x v="0"/>
    <d v="2023-10-01T00:00:00"/>
    <x v="7"/>
    <x v="1"/>
    <n v="194"/>
    <n v="80"/>
    <n v="8"/>
    <n v="9"/>
    <n v="26.1"/>
    <n v="0.55100000000000005"/>
    <n v="67"/>
    <n v="0"/>
    <x v="1"/>
    <x v="3"/>
  </r>
  <r>
    <n v="2332"/>
    <x v="0"/>
    <d v="2024-05-14T00:00:00"/>
    <x v="11"/>
    <x v="0"/>
    <n v="83"/>
    <n v="65"/>
    <n v="28"/>
    <n v="66"/>
    <n v="36.799999999999997"/>
    <n v="0.629"/>
    <n v="24"/>
    <n v="0"/>
    <x v="1"/>
    <x v="0"/>
  </r>
  <r>
    <n v="7325"/>
    <x v="0"/>
    <d v="2024-02-26T00:00:00"/>
    <x v="3"/>
    <x v="0"/>
    <n v="125"/>
    <n v="70"/>
    <n v="18"/>
    <n v="122"/>
    <n v="28.9"/>
    <n v="1.1439999999999999"/>
    <n v="45"/>
    <n v="1"/>
    <x v="0"/>
    <x v="2"/>
  </r>
  <r>
    <n v="7943"/>
    <x v="0"/>
    <d v="2022-03-28T00:00:00"/>
    <x v="1"/>
    <x v="3"/>
    <n v="166"/>
    <n v="74"/>
    <n v="8"/>
    <n v="9"/>
    <n v="26.6"/>
    <n v="0.30399999999999999"/>
    <n v="66"/>
    <n v="0"/>
    <x v="1"/>
    <x v="3"/>
  </r>
  <r>
    <n v="4656"/>
    <x v="1"/>
    <d v="2022-12-08T00:00:00"/>
    <x v="10"/>
    <x v="3"/>
    <n v="110"/>
    <n v="68"/>
    <n v="8"/>
    <n v="9"/>
    <n v="26"/>
    <n v="0.29199999999999998"/>
    <n v="30"/>
    <n v="0"/>
    <x v="1"/>
    <x v="0"/>
  </r>
  <r>
    <n v="3340"/>
    <x v="0"/>
    <d v="2023-02-01T00:00:00"/>
    <x v="3"/>
    <x v="1"/>
    <n v="81"/>
    <n v="72"/>
    <n v="15"/>
    <n v="76"/>
    <n v="30.1"/>
    <n v="0.54700000000000004"/>
    <n v="25"/>
    <n v="0"/>
    <x v="1"/>
    <x v="0"/>
  </r>
  <r>
    <n v="7979"/>
    <x v="1"/>
    <d v="2021-01-12T00:00:00"/>
    <x v="6"/>
    <x v="2"/>
    <n v="195"/>
    <n v="70"/>
    <n v="33"/>
    <n v="145"/>
    <n v="25.1"/>
    <n v="0.16300000000000001"/>
    <n v="55"/>
    <n v="1"/>
    <x v="0"/>
    <x v="1"/>
  </r>
  <r>
    <n v="8225"/>
    <x v="0"/>
    <d v="2022-12-30T00:00:00"/>
    <x v="10"/>
    <x v="3"/>
    <n v="154"/>
    <n v="74"/>
    <n v="32"/>
    <n v="193"/>
    <n v="29.3"/>
    <n v="0.83899999999999997"/>
    <n v="39"/>
    <n v="0"/>
    <x v="1"/>
    <x v="2"/>
  </r>
  <r>
    <n v="5026"/>
    <x v="0"/>
    <d v="2023-03-18T00:00:00"/>
    <x v="1"/>
    <x v="1"/>
    <n v="117"/>
    <n v="90"/>
    <n v="19"/>
    <n v="71"/>
    <n v="25.2"/>
    <n v="0.313"/>
    <n v="21"/>
    <n v="0"/>
    <x v="1"/>
    <x v="0"/>
  </r>
  <r>
    <n v="8009"/>
    <x v="1"/>
    <d v="2021-06-11T00:00:00"/>
    <x v="5"/>
    <x v="2"/>
    <n v="94"/>
    <n v="64"/>
    <n v="25"/>
    <n v="79"/>
    <n v="33.299999999999997"/>
    <n v="0.73799999999999999"/>
    <n v="41"/>
    <n v="0"/>
    <x v="1"/>
    <x v="2"/>
  </r>
  <r>
    <n v="3318"/>
    <x v="0"/>
    <d v="2024-02-07T00:00:00"/>
    <x v="3"/>
    <x v="0"/>
    <n v="75"/>
    <n v="82"/>
    <n v="8"/>
    <n v="9"/>
    <n v="33.299999999999997"/>
    <n v="0.26300000000000001"/>
    <n v="38"/>
    <n v="0"/>
    <x v="1"/>
    <x v="2"/>
  </r>
  <r>
    <n v="5022"/>
    <x v="0"/>
    <d v="2024-12-17T00:00:00"/>
    <x v="10"/>
    <x v="0"/>
    <n v="180"/>
    <n v="90"/>
    <n v="26"/>
    <n v="90"/>
    <n v="36.5"/>
    <n v="0.314"/>
    <n v="35"/>
    <n v="1"/>
    <x v="0"/>
    <x v="0"/>
  </r>
  <r>
    <n v="4293"/>
    <x v="1"/>
    <d v="2022-10-17T00:00:00"/>
    <x v="7"/>
    <x v="3"/>
    <n v="130"/>
    <n v="60"/>
    <n v="23"/>
    <n v="170"/>
    <n v="28.6"/>
    <n v="0.69199999999999995"/>
    <n v="21"/>
    <n v="0"/>
    <x v="1"/>
    <x v="0"/>
  </r>
  <r>
    <n v="7205"/>
    <x v="0"/>
    <d v="2022-12-18T00:00:00"/>
    <x v="10"/>
    <x v="3"/>
    <n v="84"/>
    <n v="50"/>
    <n v="23"/>
    <n v="76"/>
    <n v="30.4"/>
    <n v="0.96799999999999997"/>
    <n v="21"/>
    <n v="0"/>
    <x v="1"/>
    <x v="0"/>
  </r>
  <r>
    <n v="8524"/>
    <x v="0"/>
    <d v="2024-01-25T00:00:00"/>
    <x v="6"/>
    <x v="0"/>
    <n v="120"/>
    <n v="78"/>
    <n v="8"/>
    <n v="9"/>
    <n v="25"/>
    <n v="0.40899999999999997"/>
    <n v="64"/>
    <n v="0"/>
    <x v="1"/>
    <x v="1"/>
  </r>
  <r>
    <n v="1181"/>
    <x v="0"/>
    <d v="2024-03-22T00:00:00"/>
    <x v="1"/>
    <x v="0"/>
    <n v="139"/>
    <n v="62"/>
    <n v="17"/>
    <n v="210"/>
    <n v="22.1"/>
    <n v="0.20699999999999999"/>
    <n v="21"/>
    <n v="0"/>
    <x v="1"/>
    <x v="0"/>
  </r>
  <r>
    <n v="5036"/>
    <x v="1"/>
    <d v="2024-07-06T00:00:00"/>
    <x v="0"/>
    <x v="0"/>
    <n v="91"/>
    <n v="68"/>
    <n v="8"/>
    <n v="9"/>
    <n v="24.2"/>
    <n v="0.2"/>
    <n v="58"/>
    <n v="0"/>
    <x v="1"/>
    <x v="1"/>
  </r>
  <r>
    <n v="4348"/>
    <x v="0"/>
    <d v="2022-03-16T00:00:00"/>
    <x v="1"/>
    <x v="3"/>
    <n v="91"/>
    <n v="62"/>
    <n v="8"/>
    <n v="9"/>
    <n v="27.3"/>
    <n v="0.52500000000000002"/>
    <n v="22"/>
    <n v="0"/>
    <x v="1"/>
    <x v="0"/>
  </r>
  <r>
    <n v="7742"/>
    <x v="1"/>
    <d v="2023-07-27T00:00:00"/>
    <x v="0"/>
    <x v="1"/>
    <n v="99"/>
    <n v="54"/>
    <n v="19"/>
    <n v="86"/>
    <n v="25.6"/>
    <n v="0.154"/>
    <n v="24"/>
    <n v="0"/>
    <x v="1"/>
    <x v="0"/>
  </r>
  <r>
    <n v="7894"/>
    <x v="1"/>
    <d v="2023-05-20T00:00:00"/>
    <x v="11"/>
    <x v="1"/>
    <n v="163"/>
    <n v="70"/>
    <n v="18"/>
    <n v="105"/>
    <n v="31.6"/>
    <n v="0.26800000000000002"/>
    <n v="28"/>
    <n v="1"/>
    <x v="0"/>
    <x v="0"/>
  </r>
  <r>
    <n v="6390"/>
    <x v="1"/>
    <d v="2023-06-21T00:00:00"/>
    <x v="5"/>
    <x v="1"/>
    <n v="145"/>
    <n v="88"/>
    <n v="34"/>
    <n v="165"/>
    <n v="30.3"/>
    <n v="0.77100000000000002"/>
    <n v="53"/>
    <n v="1"/>
    <x v="0"/>
    <x v="1"/>
  </r>
  <r>
    <n v="5038"/>
    <x v="1"/>
    <d v="2021-10-28T00:00:00"/>
    <x v="7"/>
    <x v="2"/>
    <n v="125"/>
    <n v="86"/>
    <n v="8"/>
    <n v="9"/>
    <n v="37.6"/>
    <n v="0.30399999999999999"/>
    <n v="51"/>
    <n v="0"/>
    <x v="1"/>
    <x v="1"/>
  </r>
  <r>
    <n v="5392"/>
    <x v="1"/>
    <d v="2024-07-26T00:00:00"/>
    <x v="0"/>
    <x v="0"/>
    <n v="76"/>
    <n v="60"/>
    <n v="8"/>
    <n v="9"/>
    <n v="32.799999999999997"/>
    <n v="0.18"/>
    <n v="41"/>
    <n v="0"/>
    <x v="1"/>
    <x v="2"/>
  </r>
  <r>
    <n v="5869"/>
    <x v="0"/>
    <d v="2023-03-05T00:00:00"/>
    <x v="1"/>
    <x v="1"/>
    <n v="129"/>
    <n v="90"/>
    <n v="7"/>
    <n v="326"/>
    <n v="19.600000000000001"/>
    <n v="0.58199999999999996"/>
    <n v="60"/>
    <n v="0"/>
    <x v="1"/>
    <x v="1"/>
  </r>
  <r>
    <n v="5076"/>
    <x v="0"/>
    <d v="2024-06-08T00:00:00"/>
    <x v="5"/>
    <x v="0"/>
    <n v="68"/>
    <n v="70"/>
    <n v="32"/>
    <n v="66"/>
    <n v="25"/>
    <n v="0.187"/>
    <n v="25"/>
    <n v="0"/>
    <x v="1"/>
    <x v="0"/>
  </r>
  <r>
    <n v="5281"/>
    <x v="1"/>
    <d v="2023-12-14T00:00:00"/>
    <x v="10"/>
    <x v="1"/>
    <n v="124"/>
    <n v="80"/>
    <n v="33"/>
    <n v="130"/>
    <n v="33.200000000000003"/>
    <n v="0.30499999999999999"/>
    <n v="26"/>
    <n v="0"/>
    <x v="1"/>
    <x v="0"/>
  </r>
  <r>
    <n v="7271"/>
    <x v="1"/>
    <d v="2022-07-30T00:00:00"/>
    <x v="0"/>
    <x v="3"/>
    <n v="130"/>
    <n v="70"/>
    <n v="11"/>
    <n v="9"/>
    <n v="34.200000000000003"/>
    <n v="0.65200000000000002"/>
    <n v="45"/>
    <n v="1"/>
    <x v="0"/>
    <x v="2"/>
  </r>
  <r>
    <n v="5170"/>
    <x v="1"/>
    <d v="2024-04-07T00:00:00"/>
    <x v="8"/>
    <x v="0"/>
    <n v="125"/>
    <n v="58"/>
    <n v="11"/>
    <n v="9"/>
    <n v="31.6"/>
    <n v="0.151"/>
    <n v="24"/>
    <n v="0"/>
    <x v="1"/>
    <x v="0"/>
  </r>
  <r>
    <n v="2609"/>
    <x v="1"/>
    <d v="2024-05-28T00:00:00"/>
    <x v="11"/>
    <x v="0"/>
    <n v="97"/>
    <n v="64"/>
    <n v="19"/>
    <n v="82"/>
    <n v="18.2"/>
    <n v="0.29899999999999999"/>
    <n v="21"/>
    <n v="0"/>
    <x v="1"/>
    <x v="0"/>
  </r>
  <r>
    <n v="9041"/>
    <x v="1"/>
    <d v="2022-01-11T00:00:00"/>
    <x v="6"/>
    <x v="3"/>
    <n v="116"/>
    <n v="74"/>
    <n v="15"/>
    <n v="105"/>
    <n v="26.3"/>
    <n v="0.107"/>
    <n v="24"/>
    <n v="0"/>
    <x v="1"/>
    <x v="0"/>
  </r>
  <r>
    <n v="5295"/>
    <x v="0"/>
    <d v="2022-11-12T00:00:00"/>
    <x v="4"/>
    <x v="3"/>
    <n v="117"/>
    <n v="66"/>
    <n v="31"/>
    <n v="188"/>
    <n v="30.8"/>
    <n v="0.49299999999999999"/>
    <n v="22"/>
    <n v="0"/>
    <x v="1"/>
    <x v="0"/>
  </r>
  <r>
    <n v="8173"/>
    <x v="0"/>
    <d v="2024-12-01T00:00:00"/>
    <x v="10"/>
    <x v="0"/>
    <n v="111"/>
    <n v="65"/>
    <n v="11"/>
    <n v="9"/>
    <n v="24.6"/>
    <n v="0.66"/>
    <n v="31"/>
    <n v="0"/>
    <x v="1"/>
    <x v="0"/>
  </r>
  <r>
    <n v="6377"/>
    <x v="0"/>
    <d v="2023-08-27T00:00:00"/>
    <x v="9"/>
    <x v="1"/>
    <n v="122"/>
    <n v="60"/>
    <n v="18"/>
    <n v="106"/>
    <n v="29.8"/>
    <n v="0.71699999999999997"/>
    <n v="22"/>
    <n v="0"/>
    <x v="1"/>
    <x v="0"/>
  </r>
  <r>
    <n v="2875"/>
    <x v="0"/>
    <d v="2024-09-06T00:00:00"/>
    <x v="2"/>
    <x v="0"/>
    <n v="107"/>
    <n v="76"/>
    <n v="11"/>
    <n v="9"/>
    <n v="45.3"/>
    <n v="0.68600000000000005"/>
    <n v="24"/>
    <n v="0"/>
    <x v="1"/>
    <x v="0"/>
  </r>
  <r>
    <n v="1035"/>
    <x v="1"/>
    <d v="2022-07-18T00:00:00"/>
    <x v="0"/>
    <x v="3"/>
    <n v="86"/>
    <n v="66"/>
    <n v="52"/>
    <n v="65"/>
    <n v="41.3"/>
    <n v="0.91700000000000004"/>
    <n v="29"/>
    <n v="0"/>
    <x v="1"/>
    <x v="0"/>
  </r>
  <r>
    <n v="5425"/>
    <x v="1"/>
    <d v="2024-11-05T00:00:00"/>
    <x v="4"/>
    <x v="0"/>
    <n v="77"/>
    <n v="56"/>
    <n v="30"/>
    <n v="56"/>
    <n v="33.299999999999997"/>
    <n v="1.2509999999999999"/>
    <n v="24"/>
    <n v="0"/>
    <x v="1"/>
    <x v="0"/>
  </r>
  <r>
    <n v="4457"/>
    <x v="0"/>
    <d v="2024-08-07T00:00:00"/>
    <x v="9"/>
    <x v="0"/>
    <n v="105"/>
    <n v="90"/>
    <n v="11"/>
    <n v="9"/>
    <n v="29.6"/>
    <n v="0.19700000000000001"/>
    <n v="46"/>
    <n v="0"/>
    <x v="1"/>
    <x v="2"/>
  </r>
  <r>
    <n v="1308"/>
    <x v="0"/>
    <d v="2021-04-13T00:00:00"/>
    <x v="8"/>
    <x v="2"/>
    <n v="57"/>
    <n v="60"/>
    <n v="11"/>
    <n v="9"/>
    <n v="21.7"/>
    <n v="0.73499999999999999"/>
    <n v="67"/>
    <n v="0"/>
    <x v="1"/>
    <x v="3"/>
  </r>
  <r>
    <n v="2655"/>
    <x v="0"/>
    <d v="2021-08-09T00:00:00"/>
    <x v="9"/>
    <x v="2"/>
    <n v="127"/>
    <n v="80"/>
    <n v="37"/>
    <n v="210"/>
    <n v="36.299999999999997"/>
    <n v="0.80400000000000005"/>
    <n v="23"/>
    <n v="0"/>
    <x v="1"/>
    <x v="0"/>
  </r>
  <r>
    <n v="4097"/>
    <x v="1"/>
    <d v="2022-07-12T00:00:00"/>
    <x v="0"/>
    <x v="3"/>
    <n v="129"/>
    <n v="92"/>
    <n v="49"/>
    <n v="155"/>
    <n v="36.4"/>
    <n v="0.96799999999999997"/>
    <n v="32"/>
    <n v="1"/>
    <x v="0"/>
    <x v="0"/>
  </r>
  <r>
    <n v="8244"/>
    <x v="0"/>
    <d v="2021-04-24T00:00:00"/>
    <x v="8"/>
    <x v="2"/>
    <n v="100"/>
    <n v="74"/>
    <n v="40"/>
    <n v="215"/>
    <n v="39.4"/>
    <n v="0.66100000000000003"/>
    <n v="43"/>
    <n v="1"/>
    <x v="0"/>
    <x v="2"/>
  </r>
  <r>
    <n v="4969"/>
    <x v="1"/>
    <d v="2024-10-21T00:00:00"/>
    <x v="7"/>
    <x v="0"/>
    <n v="128"/>
    <n v="72"/>
    <n v="25"/>
    <n v="190"/>
    <n v="32.4"/>
    <n v="0.54900000000000004"/>
    <n v="27"/>
    <n v="1"/>
    <x v="0"/>
    <x v="0"/>
  </r>
  <r>
    <n v="9626"/>
    <x v="0"/>
    <d v="2021-11-22T00:00:00"/>
    <x v="4"/>
    <x v="2"/>
    <n v="84"/>
    <n v="90"/>
    <n v="23"/>
    <n v="56"/>
    <n v="39.5"/>
    <n v="0.159"/>
    <n v="25"/>
    <n v="0"/>
    <x v="1"/>
    <x v="0"/>
  </r>
  <r>
    <n v="7246"/>
    <x v="1"/>
    <d v="2024-07-02T00:00:00"/>
    <x v="0"/>
    <x v="0"/>
    <n v="88"/>
    <n v="78"/>
    <n v="29"/>
    <n v="76"/>
    <n v="32"/>
    <n v="0.36499999999999999"/>
    <n v="29"/>
    <n v="0"/>
    <x v="1"/>
    <x v="0"/>
  </r>
  <r>
    <n v="7876"/>
    <x v="0"/>
    <d v="2023-09-23T00:00:00"/>
    <x v="2"/>
    <x v="1"/>
    <n v="186"/>
    <n v="90"/>
    <n v="35"/>
    <n v="225"/>
    <n v="34.5"/>
    <n v="0.42299999999999999"/>
    <n v="37"/>
    <n v="1"/>
    <x v="0"/>
    <x v="2"/>
  </r>
  <r>
    <n v="9479"/>
    <x v="1"/>
    <d v="2021-04-07T00:00:00"/>
    <x v="8"/>
    <x v="2"/>
    <n v="187"/>
    <n v="76"/>
    <n v="27"/>
    <n v="207"/>
    <n v="43.6"/>
    <n v="1.034"/>
    <n v="53"/>
    <n v="1"/>
    <x v="0"/>
    <x v="1"/>
  </r>
  <r>
    <n v="7828"/>
    <x v="0"/>
    <d v="2021-05-13T00:00:00"/>
    <x v="11"/>
    <x v="2"/>
    <n v="131"/>
    <n v="68"/>
    <n v="21"/>
    <n v="166"/>
    <n v="33.1"/>
    <n v="0.16"/>
    <n v="28"/>
    <n v="0"/>
    <x v="1"/>
    <x v="0"/>
  </r>
  <r>
    <n v="4915"/>
    <x v="1"/>
    <d v="2021-10-28T00:00:00"/>
    <x v="7"/>
    <x v="2"/>
    <n v="164"/>
    <n v="82"/>
    <n v="43"/>
    <n v="67"/>
    <n v="32.799999999999997"/>
    <n v="0.34100000000000003"/>
    <n v="50"/>
    <n v="0"/>
    <x v="1"/>
    <x v="2"/>
  </r>
  <r>
    <n v="9644"/>
    <x v="1"/>
    <d v="2022-06-25T00:00:00"/>
    <x v="5"/>
    <x v="3"/>
    <n v="84"/>
    <n v="68"/>
    <n v="30"/>
    <n v="106"/>
    <n v="31.9"/>
    <n v="0.59099999999999997"/>
    <n v="25"/>
    <n v="0"/>
    <x v="1"/>
    <x v="0"/>
  </r>
  <r>
    <n v="1753"/>
    <x v="0"/>
    <d v="2023-06-05T00:00:00"/>
    <x v="5"/>
    <x v="1"/>
    <n v="114"/>
    <n v="88"/>
    <n v="11"/>
    <n v="9"/>
    <n v="27.8"/>
    <n v="0.247"/>
    <n v="66"/>
    <n v="0"/>
    <x v="1"/>
    <x v="3"/>
  </r>
  <r>
    <n v="2693"/>
    <x v="1"/>
    <d v="2023-05-29T00:00:00"/>
    <x v="11"/>
    <x v="1"/>
    <n v="88"/>
    <n v="62"/>
    <n v="24"/>
    <n v="44"/>
    <n v="29.9"/>
    <n v="0.42199999999999999"/>
    <n v="23"/>
    <n v="0"/>
    <x v="1"/>
    <x v="0"/>
  </r>
  <r>
    <n v="1990"/>
    <x v="1"/>
    <d v="2021-01-09T00:00:00"/>
    <x v="6"/>
    <x v="2"/>
    <n v="84"/>
    <n v="64"/>
    <n v="23"/>
    <n v="115"/>
    <n v="36.9"/>
    <n v="0.47099999999999997"/>
    <n v="28"/>
    <n v="0"/>
    <x v="1"/>
    <x v="0"/>
  </r>
  <r>
    <n v="9525"/>
    <x v="1"/>
    <d v="2023-06-30T00:00:00"/>
    <x v="5"/>
    <x v="1"/>
    <n v="124"/>
    <n v="70"/>
    <n v="33"/>
    <n v="215"/>
    <n v="25.5"/>
    <n v="0.161"/>
    <n v="37"/>
    <n v="0"/>
    <x v="1"/>
    <x v="2"/>
  </r>
  <r>
    <n v="7496"/>
    <x v="0"/>
    <d v="2023-11-27T00:00:00"/>
    <x v="4"/>
    <x v="1"/>
    <n v="110"/>
    <n v="76"/>
    <n v="11"/>
    <n v="9"/>
    <n v="27.8"/>
    <n v="0.23699999999999999"/>
    <n v="58"/>
    <n v="0"/>
    <x v="1"/>
    <x v="1"/>
  </r>
  <r>
    <n v="2475"/>
    <x v="1"/>
    <d v="2022-11-01T00:00:00"/>
    <x v="4"/>
    <x v="3"/>
    <n v="85"/>
    <n v="74"/>
    <n v="11"/>
    <n v="9"/>
    <n v="30.1"/>
    <n v="0.3"/>
    <n v="35"/>
    <n v="0"/>
    <x v="1"/>
    <x v="0"/>
  </r>
  <r>
    <n v="4611"/>
    <x v="0"/>
    <d v="2023-01-22T00:00:00"/>
    <x v="6"/>
    <x v="1"/>
    <n v="125"/>
    <n v="76"/>
    <n v="11"/>
    <n v="9"/>
    <n v="33.799999999999997"/>
    <n v="0.121"/>
    <n v="54"/>
    <n v="1"/>
    <x v="0"/>
    <x v="1"/>
  </r>
  <r>
    <n v="7153"/>
    <x v="0"/>
    <d v="2021-08-28T00:00:00"/>
    <x v="9"/>
    <x v="2"/>
    <n v="198"/>
    <n v="66"/>
    <n v="32"/>
    <n v="274"/>
    <n v="41.3"/>
    <n v="0.502"/>
    <n v="28"/>
    <n v="1"/>
    <x v="0"/>
    <x v="0"/>
  </r>
  <r>
    <n v="2189"/>
    <x v="1"/>
    <d v="2024-12-25T00:00:00"/>
    <x v="10"/>
    <x v="0"/>
    <n v="87"/>
    <n v="68"/>
    <n v="34"/>
    <n v="77"/>
    <n v="37.6"/>
    <n v="0.40100000000000002"/>
    <n v="24"/>
    <n v="0"/>
    <x v="1"/>
    <x v="0"/>
  </r>
  <r>
    <n v="3027"/>
    <x v="0"/>
    <d v="2024-05-08T00:00:00"/>
    <x v="11"/>
    <x v="0"/>
    <n v="99"/>
    <n v="60"/>
    <n v="19"/>
    <n v="54"/>
    <n v="26.9"/>
    <n v="0.497"/>
    <n v="32"/>
    <n v="0"/>
    <x v="1"/>
    <x v="0"/>
  </r>
  <r>
    <n v="4076"/>
    <x v="0"/>
    <d v="2023-11-30T00:00:00"/>
    <x v="4"/>
    <x v="1"/>
    <n v="91"/>
    <n v="80"/>
    <n v="11"/>
    <n v="9"/>
    <n v="32.4"/>
    <n v="0.60099999999999998"/>
    <n v="27"/>
    <n v="0"/>
    <x v="1"/>
    <x v="0"/>
  </r>
  <r>
    <n v="6565"/>
    <x v="0"/>
    <d v="2024-04-03T00:00:00"/>
    <x v="8"/>
    <x v="0"/>
    <n v="95"/>
    <n v="54"/>
    <n v="14"/>
    <n v="88"/>
    <n v="26.1"/>
    <n v="0.748"/>
    <n v="22"/>
    <n v="0"/>
    <x v="1"/>
    <x v="0"/>
  </r>
  <r>
    <n v="7465"/>
    <x v="1"/>
    <d v="2023-09-05T00:00:00"/>
    <x v="2"/>
    <x v="1"/>
    <n v="99"/>
    <n v="72"/>
    <n v="30"/>
    <n v="18"/>
    <n v="38.6"/>
    <n v="0.41199999999999998"/>
    <n v="21"/>
    <n v="0"/>
    <x v="1"/>
    <x v="0"/>
  </r>
  <r>
    <n v="1201"/>
    <x v="0"/>
    <d v="2021-02-25T00:00:00"/>
    <x v="3"/>
    <x v="2"/>
    <n v="92"/>
    <n v="62"/>
    <n v="32"/>
    <n v="126"/>
    <n v="32"/>
    <n v="8.5000000000000006E-2"/>
    <n v="46"/>
    <n v="0"/>
    <x v="1"/>
    <x v="2"/>
  </r>
  <r>
    <n v="2104"/>
    <x v="0"/>
    <d v="2023-06-05T00:00:00"/>
    <x v="5"/>
    <x v="1"/>
    <n v="154"/>
    <n v="72"/>
    <n v="29"/>
    <n v="126"/>
    <n v="31.3"/>
    <n v="0.33800000000000002"/>
    <n v="37"/>
    <n v="0"/>
    <x v="1"/>
    <x v="2"/>
  </r>
  <r>
    <n v="6827"/>
    <x v="0"/>
    <d v="2021-05-29T00:00:00"/>
    <x v="11"/>
    <x v="2"/>
    <n v="121"/>
    <n v="66"/>
    <n v="30"/>
    <n v="165"/>
    <n v="34.299999999999997"/>
    <n v="0.20300000000000001"/>
    <n v="33"/>
    <n v="1"/>
    <x v="0"/>
    <x v="0"/>
  </r>
  <r>
    <n v="8144"/>
    <x v="1"/>
    <d v="2023-04-22T00:00:00"/>
    <x v="8"/>
    <x v="1"/>
    <n v="78"/>
    <n v="70"/>
    <n v="11"/>
    <n v="9"/>
    <n v="32.5"/>
    <n v="0.27"/>
    <n v="39"/>
    <n v="0"/>
    <x v="1"/>
    <x v="2"/>
  </r>
  <r>
    <n v="9257"/>
    <x v="0"/>
    <d v="2023-04-30T00:00:00"/>
    <x v="8"/>
    <x v="1"/>
    <n v="130"/>
    <n v="96"/>
    <n v="11"/>
    <n v="9"/>
    <n v="22.6"/>
    <n v="0.26800000000000002"/>
    <n v="21"/>
    <n v="0"/>
    <x v="1"/>
    <x v="0"/>
  </r>
  <r>
    <n v="8667"/>
    <x v="1"/>
    <d v="2022-05-07T00:00:00"/>
    <x v="11"/>
    <x v="3"/>
    <n v="111"/>
    <n v="58"/>
    <n v="31"/>
    <n v="44"/>
    <n v="29.5"/>
    <n v="0.43"/>
    <n v="22"/>
    <n v="0"/>
    <x v="1"/>
    <x v="0"/>
  </r>
  <r>
    <n v="4436"/>
    <x v="0"/>
    <d v="2021-09-04T00:00:00"/>
    <x v="2"/>
    <x v="2"/>
    <n v="98"/>
    <n v="60"/>
    <n v="17"/>
    <n v="120"/>
    <n v="34.700000000000003"/>
    <n v="0.19800000000000001"/>
    <n v="22"/>
    <n v="0"/>
    <x v="1"/>
    <x v="0"/>
  </r>
  <r>
    <n v="9172"/>
    <x v="1"/>
    <d v="2022-04-20T00:00:00"/>
    <x v="8"/>
    <x v="3"/>
    <n v="143"/>
    <n v="86"/>
    <n v="30"/>
    <n v="330"/>
    <n v="30.1"/>
    <n v="0.89200000000000002"/>
    <n v="23"/>
    <n v="0"/>
    <x v="1"/>
    <x v="0"/>
  </r>
  <r>
    <n v="2810"/>
    <x v="1"/>
    <d v="2023-04-13T00:00:00"/>
    <x v="8"/>
    <x v="1"/>
    <n v="119"/>
    <n v="44"/>
    <n v="47"/>
    <n v="63"/>
    <n v="35.5"/>
    <n v="0.28000000000000003"/>
    <n v="25"/>
    <n v="0"/>
    <x v="1"/>
    <x v="0"/>
  </r>
  <r>
    <n v="9091"/>
    <x v="0"/>
    <d v="2024-07-20T00:00:00"/>
    <x v="0"/>
    <x v="0"/>
    <n v="108"/>
    <n v="44"/>
    <n v="20"/>
    <n v="130"/>
    <n v="24"/>
    <n v="0.81299999999999994"/>
    <n v="35"/>
    <n v="0"/>
    <x v="1"/>
    <x v="0"/>
  </r>
  <r>
    <n v="6319"/>
    <x v="0"/>
    <d v="2022-03-10T00:00:00"/>
    <x v="1"/>
    <x v="3"/>
    <n v="118"/>
    <n v="80"/>
    <n v="11"/>
    <n v="9"/>
    <n v="42.9"/>
    <n v="0.69299999999999995"/>
    <n v="21"/>
    <n v="1"/>
    <x v="0"/>
    <x v="0"/>
  </r>
  <r>
    <n v="8546"/>
    <x v="0"/>
    <d v="2021-08-20T00:00:00"/>
    <x v="9"/>
    <x v="2"/>
    <n v="133"/>
    <n v="68"/>
    <n v="11"/>
    <n v="9"/>
    <n v="27"/>
    <n v="0.245"/>
    <n v="36"/>
    <n v="0"/>
    <x v="1"/>
    <x v="2"/>
  </r>
  <r>
    <n v="3903"/>
    <x v="0"/>
    <d v="2024-09-25T00:00:00"/>
    <x v="2"/>
    <x v="0"/>
    <n v="100"/>
    <n v="76"/>
    <n v="11"/>
    <n v="9"/>
    <n v="38.700000000000003"/>
    <n v="0.19"/>
    <n v="42"/>
    <n v="0"/>
    <x v="1"/>
    <x v="2"/>
  </r>
  <r>
    <n v="8507"/>
    <x v="0"/>
    <d v="2023-07-27T00:00:00"/>
    <x v="0"/>
    <x v="1"/>
    <n v="124"/>
    <n v="76"/>
    <n v="24"/>
    <n v="600"/>
    <n v="28.7"/>
    <n v="0.68700000000000006"/>
    <n v="52"/>
    <n v="1"/>
    <x v="0"/>
    <x v="1"/>
  </r>
  <r>
    <n v="4861"/>
    <x v="0"/>
    <d v="2024-08-17T00:00:00"/>
    <x v="9"/>
    <x v="0"/>
    <n v="143"/>
    <n v="66"/>
    <n v="11"/>
    <n v="9"/>
    <n v="34.9"/>
    <n v="0.129"/>
    <n v="41"/>
    <n v="1"/>
    <x v="0"/>
    <x v="2"/>
  </r>
  <r>
    <n v="2559"/>
    <x v="0"/>
    <d v="2023-11-01T00:00:00"/>
    <x v="4"/>
    <x v="1"/>
    <n v="103"/>
    <n v="66"/>
    <n v="11"/>
    <n v="9"/>
    <n v="24.3"/>
    <n v="0.249"/>
    <n v="29"/>
    <n v="0"/>
    <x v="1"/>
    <x v="0"/>
  </r>
  <r>
    <n v="8717"/>
    <x v="1"/>
    <d v="2022-03-12T00:00:00"/>
    <x v="1"/>
    <x v="3"/>
    <n v="176"/>
    <n v="86"/>
    <n v="27"/>
    <n v="156"/>
    <n v="33.299999999999997"/>
    <n v="1.1539999999999999"/>
    <n v="52"/>
    <n v="1"/>
    <x v="0"/>
    <x v="1"/>
  </r>
  <r>
    <n v="4539"/>
    <x v="0"/>
    <d v="2023-04-25T00:00:00"/>
    <x v="8"/>
    <x v="1"/>
    <n v="112"/>
    <n v="78"/>
    <n v="50"/>
    <n v="140"/>
    <n v="39.4"/>
    <n v="0.17499999999999999"/>
    <n v="24"/>
    <n v="0"/>
    <x v="1"/>
    <x v="0"/>
  </r>
  <r>
    <n v="8752"/>
    <x v="1"/>
    <d v="2021-07-29T00:00:00"/>
    <x v="0"/>
    <x v="2"/>
    <n v="132"/>
    <n v="80"/>
    <n v="4"/>
    <n v="9"/>
    <n v="34.4"/>
    <n v="0.40200000000000002"/>
    <n v="44"/>
    <n v="1"/>
    <x v="0"/>
    <x v="2"/>
  </r>
  <r>
    <n v="2411"/>
    <x v="0"/>
    <d v="2024-09-27T00:00:00"/>
    <x v="2"/>
    <x v="0"/>
    <n v="82"/>
    <n v="52"/>
    <n v="22"/>
    <n v="115"/>
    <n v="28.5"/>
    <n v="1.6990000000000001"/>
    <n v="25"/>
    <n v="0"/>
    <x v="1"/>
    <x v="0"/>
  </r>
  <r>
    <n v="8069"/>
    <x v="0"/>
    <d v="2021-05-16T00:00:00"/>
    <x v="11"/>
    <x v="2"/>
    <n v="123"/>
    <n v="72"/>
    <n v="45"/>
    <n v="230"/>
    <n v="33.6"/>
    <n v="0.73299999999999998"/>
    <n v="34"/>
    <n v="0"/>
    <x v="1"/>
    <x v="0"/>
  </r>
  <r>
    <n v="5218"/>
    <x v="0"/>
    <d v="2022-03-06T00:00:00"/>
    <x v="1"/>
    <x v="3"/>
    <n v="188"/>
    <n v="82"/>
    <n v="14"/>
    <n v="185"/>
    <n v="32"/>
    <n v="0.68200000000000005"/>
    <n v="22"/>
    <n v="1"/>
    <x v="0"/>
    <x v="0"/>
  </r>
  <r>
    <n v="8055"/>
    <x v="0"/>
    <d v="2023-11-08T00:00:00"/>
    <x v="4"/>
    <x v="1"/>
    <n v="67"/>
    <n v="76"/>
    <n v="4"/>
    <n v="9"/>
    <n v="45.3"/>
    <n v="0.19400000000000001"/>
    <n v="46"/>
    <n v="0"/>
    <x v="1"/>
    <x v="2"/>
  </r>
  <r>
    <n v="6985"/>
    <x v="1"/>
    <d v="2024-09-16T00:00:00"/>
    <x v="2"/>
    <x v="0"/>
    <n v="89"/>
    <n v="24"/>
    <n v="19"/>
    <n v="25"/>
    <n v="27.8"/>
    <n v="0.55900000000000005"/>
    <n v="21"/>
    <n v="0"/>
    <x v="1"/>
    <x v="0"/>
  </r>
  <r>
    <n v="3368"/>
    <x v="1"/>
    <d v="2023-11-16T00:00:00"/>
    <x v="4"/>
    <x v="1"/>
    <n v="173"/>
    <n v="74"/>
    <n v="4"/>
    <n v="9"/>
    <n v="36.799999999999997"/>
    <n v="8.7999999999999995E-2"/>
    <n v="38"/>
    <n v="1"/>
    <x v="0"/>
    <x v="2"/>
  </r>
  <r>
    <n v="5269"/>
    <x v="1"/>
    <d v="2021-07-09T00:00:00"/>
    <x v="0"/>
    <x v="2"/>
    <n v="109"/>
    <n v="38"/>
    <n v="18"/>
    <n v="120"/>
    <n v="23.1"/>
    <n v="0.40699999999999997"/>
    <n v="26"/>
    <n v="0"/>
    <x v="1"/>
    <x v="0"/>
  </r>
  <r>
    <n v="4591"/>
    <x v="1"/>
    <d v="2021-12-05T00:00:00"/>
    <x v="10"/>
    <x v="2"/>
    <n v="150"/>
    <n v="78"/>
    <n v="29"/>
    <n v="126"/>
    <n v="35.200000000000003"/>
    <n v="0.69199999999999995"/>
    <n v="54"/>
    <n v="1"/>
    <x v="0"/>
    <x v="1"/>
  </r>
  <r>
    <n v="3952"/>
    <x v="1"/>
    <d v="2021-07-17T00:00:00"/>
    <x v="0"/>
    <x v="2"/>
    <n v="181"/>
    <n v="78"/>
    <n v="42"/>
    <n v="293"/>
    <n v="40"/>
    <n v="1.258"/>
    <n v="22"/>
    <n v="1"/>
    <x v="0"/>
    <x v="0"/>
  </r>
  <r>
    <n v="6842"/>
    <x v="1"/>
    <d v="2021-10-03T00:00:00"/>
    <x v="7"/>
    <x v="2"/>
    <n v="92"/>
    <n v="62"/>
    <n v="25"/>
    <n v="41"/>
    <n v="19.5"/>
    <n v="0.48199999999999998"/>
    <n v="25"/>
    <n v="0"/>
    <x v="1"/>
    <x v="0"/>
  </r>
  <r>
    <n v="7926"/>
    <x v="0"/>
    <d v="2021-12-27T00:00:00"/>
    <x v="10"/>
    <x v="2"/>
    <n v="152"/>
    <n v="82"/>
    <n v="39"/>
    <n v="272"/>
    <n v="41.5"/>
    <n v="0.27"/>
    <n v="27"/>
    <n v="0"/>
    <x v="1"/>
    <x v="0"/>
  </r>
  <r>
    <n v="8886"/>
    <x v="1"/>
    <d v="2022-06-25T00:00:00"/>
    <x v="5"/>
    <x v="3"/>
    <n v="111"/>
    <n v="62"/>
    <n v="13"/>
    <n v="182"/>
    <n v="24"/>
    <n v="0.13800000000000001"/>
    <n v="23"/>
    <n v="0"/>
    <x v="1"/>
    <x v="0"/>
  </r>
  <r>
    <n v="8449"/>
    <x v="1"/>
    <d v="2024-11-30T00:00:00"/>
    <x v="4"/>
    <x v="0"/>
    <n v="106"/>
    <n v="54"/>
    <n v="21"/>
    <n v="158"/>
    <n v="30.9"/>
    <n v="0.29199999999999998"/>
    <n v="24"/>
    <n v="0"/>
    <x v="1"/>
    <x v="0"/>
  </r>
  <r>
    <n v="9073"/>
    <x v="1"/>
    <d v="2024-12-01T00:00:00"/>
    <x v="10"/>
    <x v="0"/>
    <n v="174"/>
    <n v="58"/>
    <n v="22"/>
    <n v="194"/>
    <n v="32.9"/>
    <n v="0.59299999999999997"/>
    <n v="36"/>
    <n v="1"/>
    <x v="0"/>
    <x v="2"/>
  </r>
  <r>
    <n v="6187"/>
    <x v="1"/>
    <d v="2024-03-16T00:00:00"/>
    <x v="1"/>
    <x v="0"/>
    <n v="168"/>
    <n v="88"/>
    <n v="42"/>
    <n v="321"/>
    <n v="38.200000000000003"/>
    <n v="0.78700000000000003"/>
    <n v="40"/>
    <n v="1"/>
    <x v="0"/>
    <x v="2"/>
  </r>
  <r>
    <n v="6593"/>
    <x v="1"/>
    <d v="2024-10-25T00:00:00"/>
    <x v="7"/>
    <x v="0"/>
    <n v="138"/>
    <n v="74"/>
    <n v="26"/>
    <n v="144"/>
    <n v="36.1"/>
    <n v="0.55700000000000005"/>
    <n v="50"/>
    <n v="1"/>
    <x v="0"/>
    <x v="2"/>
  </r>
  <r>
    <n v="6592"/>
    <x v="1"/>
    <d v="2022-12-17T00:00:00"/>
    <x v="10"/>
    <x v="3"/>
    <n v="106"/>
    <n v="72"/>
    <n v="4"/>
    <n v="9"/>
    <n v="25.8"/>
    <n v="0.20699999999999999"/>
    <n v="27"/>
    <n v="0"/>
    <x v="1"/>
    <x v="0"/>
  </r>
  <r>
    <n v="9836"/>
    <x v="0"/>
    <d v="2022-06-28T00:00:00"/>
    <x v="5"/>
    <x v="3"/>
    <n v="117"/>
    <n v="96"/>
    <n v="4"/>
    <n v="9"/>
    <n v="28.7"/>
    <n v="0.157"/>
    <n v="30"/>
    <n v="0"/>
    <x v="1"/>
    <x v="0"/>
  </r>
  <r>
    <n v="7446"/>
    <x v="0"/>
    <d v="2023-02-18T00:00:00"/>
    <x v="3"/>
    <x v="1"/>
    <n v="68"/>
    <n v="62"/>
    <n v="13"/>
    <n v="15"/>
    <n v="20.100000000000001"/>
    <n v="0.25700000000000001"/>
    <n v="23"/>
    <n v="0"/>
    <x v="1"/>
    <x v="0"/>
  </r>
  <r>
    <n v="7569"/>
    <x v="0"/>
    <d v="2022-11-16T00:00:00"/>
    <x v="4"/>
    <x v="3"/>
    <n v="112"/>
    <n v="86"/>
    <n v="42"/>
    <n v="160"/>
    <n v="38.4"/>
    <n v="0.246"/>
    <n v="28"/>
    <n v="0"/>
    <x v="1"/>
    <x v="0"/>
  </r>
  <r>
    <n v="3577"/>
    <x v="0"/>
    <d v="2023-06-29T00:00:00"/>
    <x v="5"/>
    <x v="1"/>
    <n v="183"/>
    <n v="94"/>
    <n v="4"/>
    <n v="9"/>
    <n v="40.799999999999997"/>
    <n v="1.4610000000000001"/>
    <n v="45"/>
    <n v="0"/>
    <x v="1"/>
    <x v="2"/>
  </r>
  <r>
    <n v="2905"/>
    <x v="0"/>
    <d v="2021-06-02T00:00:00"/>
    <x v="5"/>
    <x v="2"/>
    <n v="94"/>
    <n v="70"/>
    <n v="27"/>
    <n v="115"/>
    <n v="43.5"/>
    <n v="0.34699999999999998"/>
    <n v="21"/>
    <n v="0"/>
    <x v="1"/>
    <x v="0"/>
  </r>
  <r>
    <n v="8066"/>
    <x v="0"/>
    <d v="2023-12-23T00:00:00"/>
    <x v="10"/>
    <x v="1"/>
    <n v="108"/>
    <n v="64"/>
    <n v="4"/>
    <n v="9"/>
    <n v="30.8"/>
    <n v="0.158"/>
    <n v="21"/>
    <n v="0"/>
    <x v="1"/>
    <x v="0"/>
  </r>
  <r>
    <n v="9078"/>
    <x v="0"/>
    <d v="2022-02-26T00:00:00"/>
    <x v="3"/>
    <x v="3"/>
    <n v="90"/>
    <n v="88"/>
    <n v="47"/>
    <n v="54"/>
    <n v="37.700000000000003"/>
    <n v="0.36199999999999999"/>
    <n v="29"/>
    <n v="0"/>
    <x v="1"/>
    <x v="0"/>
  </r>
  <r>
    <n v="3511"/>
    <x v="0"/>
    <d v="2023-10-30T00:00:00"/>
    <x v="7"/>
    <x v="1"/>
    <n v="125"/>
    <n v="68"/>
    <n v="4"/>
    <n v="9"/>
    <n v="24.7"/>
    <n v="0.20599999999999999"/>
    <n v="21"/>
    <n v="0"/>
    <x v="1"/>
    <x v="0"/>
  </r>
  <r>
    <n v="4692"/>
    <x v="0"/>
    <d v="2022-12-24T00:00:00"/>
    <x v="10"/>
    <x v="3"/>
    <n v="132"/>
    <n v="78"/>
    <n v="4"/>
    <n v="9"/>
    <n v="32.4"/>
    <n v="0.39300000000000002"/>
    <n v="21"/>
    <n v="0"/>
    <x v="1"/>
    <x v="0"/>
  </r>
  <r>
    <n v="3238"/>
    <x v="1"/>
    <d v="2022-02-12T00:00:00"/>
    <x v="3"/>
    <x v="3"/>
    <n v="128"/>
    <n v="80"/>
    <n v="4"/>
    <n v="9"/>
    <n v="34.6"/>
    <n v="0.14399999999999999"/>
    <n v="45"/>
    <n v="0"/>
    <x v="1"/>
    <x v="2"/>
  </r>
  <r>
    <n v="6319"/>
    <x v="1"/>
    <d v="2024-05-09T00:00:00"/>
    <x v="11"/>
    <x v="0"/>
    <n v="114"/>
    <n v="64"/>
    <n v="4"/>
    <n v="9"/>
    <n v="27.4"/>
    <n v="0.73199999999999998"/>
    <n v="34"/>
    <n v="1"/>
    <x v="0"/>
    <x v="0"/>
  </r>
  <r>
    <n v="5433"/>
    <x v="0"/>
    <d v="2021-06-16T00:00:00"/>
    <x v="5"/>
    <x v="2"/>
    <n v="102"/>
    <n v="78"/>
    <n v="40"/>
    <n v="90"/>
    <n v="34.5"/>
    <n v="0.23799999999999999"/>
    <n v="24"/>
    <n v="0"/>
    <x v="1"/>
    <x v="0"/>
  </r>
  <r>
    <n v="8542"/>
    <x v="0"/>
    <d v="2024-06-12T00:00:00"/>
    <x v="5"/>
    <x v="0"/>
    <n v="111"/>
    <n v="60"/>
    <n v="4"/>
    <n v="9"/>
    <n v="26.2"/>
    <n v="0.34300000000000003"/>
    <n v="23"/>
    <n v="0"/>
    <x v="1"/>
    <x v="0"/>
  </r>
  <r>
    <n v="1451"/>
    <x v="1"/>
    <d v="2022-05-12T00:00:00"/>
    <x v="11"/>
    <x v="3"/>
    <n v="128"/>
    <n v="82"/>
    <n v="17"/>
    <n v="183"/>
    <n v="27.5"/>
    <n v="0.115"/>
    <n v="22"/>
    <n v="0"/>
    <x v="1"/>
    <x v="0"/>
  </r>
  <r>
    <n v="5469"/>
    <x v="0"/>
    <d v="2024-10-10T00:00:00"/>
    <x v="7"/>
    <x v="0"/>
    <n v="92"/>
    <n v="62"/>
    <n v="4"/>
    <n v="9"/>
    <n v="25.9"/>
    <n v="0.16700000000000001"/>
    <n v="31"/>
    <n v="0"/>
    <x v="1"/>
    <x v="0"/>
  </r>
  <r>
    <n v="2515"/>
    <x v="1"/>
    <d v="2023-05-12T00:00:00"/>
    <x v="11"/>
    <x v="1"/>
    <n v="104"/>
    <n v="72"/>
    <n v="4"/>
    <n v="9"/>
    <n v="31.2"/>
    <n v="0.46500000000000002"/>
    <n v="38"/>
    <n v="1"/>
    <x v="0"/>
    <x v="2"/>
  </r>
  <r>
    <n v="9460"/>
    <x v="1"/>
    <d v="2022-06-11T00:00:00"/>
    <x v="5"/>
    <x v="3"/>
    <n v="104"/>
    <n v="74"/>
    <n v="4"/>
    <n v="9"/>
    <n v="28.8"/>
    <n v="0.153"/>
    <n v="48"/>
    <n v="0"/>
    <x v="1"/>
    <x v="2"/>
  </r>
  <r>
    <n v="5667"/>
    <x v="0"/>
    <d v="2024-01-14T00:00:00"/>
    <x v="6"/>
    <x v="0"/>
    <n v="94"/>
    <n v="76"/>
    <n v="18"/>
    <n v="66"/>
    <n v="31.6"/>
    <n v="0.64900000000000002"/>
    <n v="23"/>
    <n v="0"/>
    <x v="1"/>
    <x v="0"/>
  </r>
  <r>
    <n v="8936"/>
    <x v="1"/>
    <d v="2022-06-29T00:00:00"/>
    <x v="5"/>
    <x v="3"/>
    <n v="97"/>
    <n v="76"/>
    <n v="32"/>
    <n v="91"/>
    <n v="40.9"/>
    <n v="0.871"/>
    <n v="32"/>
    <n v="1"/>
    <x v="0"/>
    <x v="0"/>
  </r>
  <r>
    <n v="7249"/>
    <x v="1"/>
    <d v="2022-01-27T00:00:00"/>
    <x v="6"/>
    <x v="3"/>
    <n v="100"/>
    <n v="74"/>
    <n v="12"/>
    <n v="46"/>
    <n v="19.5"/>
    <n v="0.14899999999999999"/>
    <n v="28"/>
    <n v="0"/>
    <x v="1"/>
    <x v="0"/>
  </r>
  <r>
    <n v="3072"/>
    <x v="0"/>
    <d v="2024-06-01T00:00:00"/>
    <x v="5"/>
    <x v="0"/>
    <n v="102"/>
    <n v="86"/>
    <n v="17"/>
    <n v="105"/>
    <n v="29.3"/>
    <n v="0.69499999999999995"/>
    <n v="27"/>
    <n v="0"/>
    <x v="1"/>
    <x v="0"/>
  </r>
  <r>
    <n v="2489"/>
    <x v="0"/>
    <d v="2021-01-03T00:00:00"/>
    <x v="6"/>
    <x v="2"/>
    <n v="128"/>
    <n v="70"/>
    <n v="4"/>
    <n v="9"/>
    <n v="34.299999999999997"/>
    <n v="0.30299999999999999"/>
    <n v="24"/>
    <n v="0"/>
    <x v="1"/>
    <x v="0"/>
  </r>
  <r>
    <n v="1027"/>
    <x v="0"/>
    <d v="2021-04-16T00:00:00"/>
    <x v="8"/>
    <x v="2"/>
    <n v="147"/>
    <n v="80"/>
    <n v="4"/>
    <n v="9"/>
    <n v="29.5"/>
    <n v="0.17799999999999999"/>
    <n v="50"/>
    <n v="1"/>
    <x v="0"/>
    <x v="2"/>
  </r>
  <r>
    <n v="9216"/>
    <x v="1"/>
    <d v="2023-09-15T00:00:00"/>
    <x v="2"/>
    <x v="1"/>
    <n v="103"/>
    <n v="72"/>
    <n v="30"/>
    <n v="152"/>
    <n v="27.6"/>
    <n v="0.73"/>
    <n v="27"/>
    <n v="0"/>
    <x v="1"/>
    <x v="0"/>
  </r>
  <r>
    <n v="4667"/>
    <x v="0"/>
    <d v="2022-04-27T00:00:00"/>
    <x v="8"/>
    <x v="3"/>
    <n v="157"/>
    <n v="74"/>
    <n v="35"/>
    <n v="440"/>
    <n v="39.4"/>
    <n v="0.13400000000000001"/>
    <n v="30"/>
    <n v="0"/>
    <x v="1"/>
    <x v="0"/>
  </r>
  <r>
    <n v="7961"/>
    <x v="1"/>
    <d v="2023-08-04T00:00:00"/>
    <x v="9"/>
    <x v="1"/>
    <n v="167"/>
    <n v="74"/>
    <n v="17"/>
    <n v="144"/>
    <n v="23.4"/>
    <n v="0.44700000000000001"/>
    <n v="33"/>
    <n v="1"/>
    <x v="0"/>
    <x v="0"/>
  </r>
  <r>
    <n v="9000"/>
    <x v="0"/>
    <d v="2023-07-14T00:00:00"/>
    <x v="0"/>
    <x v="1"/>
    <n v="179"/>
    <n v="50"/>
    <n v="36"/>
    <n v="159"/>
    <n v="37.799999999999997"/>
    <n v="0.45500000000000002"/>
    <n v="22"/>
    <n v="1"/>
    <x v="0"/>
    <x v="0"/>
  </r>
  <r>
    <n v="1387"/>
    <x v="1"/>
    <d v="2022-07-03T00:00:00"/>
    <x v="0"/>
    <x v="3"/>
    <n v="136"/>
    <n v="84"/>
    <n v="35"/>
    <n v="130"/>
    <n v="28.3"/>
    <n v="0.26"/>
    <n v="42"/>
    <n v="1"/>
    <x v="0"/>
    <x v="2"/>
  </r>
  <r>
    <n v="2671"/>
    <x v="1"/>
    <d v="2023-01-28T00:00:00"/>
    <x v="6"/>
    <x v="1"/>
    <n v="91"/>
    <n v="54"/>
    <n v="25"/>
    <n v="100"/>
    <n v="25.2"/>
    <n v="0.23400000000000001"/>
    <n v="23"/>
    <n v="0"/>
    <x v="1"/>
    <x v="0"/>
  </r>
  <r>
    <n v="7116"/>
    <x v="1"/>
    <d v="2022-03-19T00:00:00"/>
    <x v="1"/>
    <x v="3"/>
    <n v="117"/>
    <n v="60"/>
    <n v="23"/>
    <n v="106"/>
    <n v="33.799999999999997"/>
    <n v="0.46600000000000003"/>
    <n v="27"/>
    <n v="0"/>
    <x v="1"/>
    <x v="0"/>
  </r>
  <r>
    <n v="4462"/>
    <x v="1"/>
    <d v="2023-03-30T00:00:00"/>
    <x v="1"/>
    <x v="1"/>
    <n v="123"/>
    <n v="74"/>
    <n v="40"/>
    <n v="77"/>
    <n v="34.1"/>
    <n v="0.26900000000000002"/>
    <n v="28"/>
    <n v="0"/>
    <x v="1"/>
    <x v="0"/>
  </r>
  <r>
    <n v="1666"/>
    <x v="0"/>
    <d v="2022-06-24T00:00:00"/>
    <x v="5"/>
    <x v="3"/>
    <n v="120"/>
    <n v="54"/>
    <n v="4"/>
    <n v="9"/>
    <n v="26.8"/>
    <n v="0.45500000000000002"/>
    <n v="27"/>
    <n v="0"/>
    <x v="1"/>
    <x v="0"/>
  </r>
  <r>
    <n v="4275"/>
    <x v="1"/>
    <d v="2023-10-06T00:00:00"/>
    <x v="7"/>
    <x v="1"/>
    <n v="106"/>
    <n v="70"/>
    <n v="28"/>
    <n v="135"/>
    <n v="34.200000000000003"/>
    <n v="0.14199999999999999"/>
    <n v="22"/>
    <n v="0"/>
    <x v="1"/>
    <x v="0"/>
  </r>
  <r>
    <n v="6383"/>
    <x v="0"/>
    <d v="2024-04-24T00:00:00"/>
    <x v="8"/>
    <x v="0"/>
    <n v="155"/>
    <n v="52"/>
    <n v="27"/>
    <n v="540"/>
    <n v="38.700000000000003"/>
    <n v="0.24"/>
    <n v="25"/>
    <n v="1"/>
    <x v="0"/>
    <x v="0"/>
  </r>
  <r>
    <n v="5660"/>
    <x v="0"/>
    <d v="2021-01-18T00:00:00"/>
    <x v="6"/>
    <x v="2"/>
    <n v="101"/>
    <n v="58"/>
    <n v="35"/>
    <n v="90"/>
    <n v="21.8"/>
    <n v="0.155"/>
    <n v="22"/>
    <n v="0"/>
    <x v="1"/>
    <x v="0"/>
  </r>
  <r>
    <n v="8056"/>
    <x v="1"/>
    <d v="2023-04-12T00:00:00"/>
    <x v="8"/>
    <x v="1"/>
    <n v="120"/>
    <n v="80"/>
    <n v="48"/>
    <n v="200"/>
    <n v="38.9"/>
    <n v="1.1619999999999999"/>
    <n v="41"/>
    <n v="0"/>
    <x v="1"/>
    <x v="2"/>
  </r>
  <r>
    <n v="6001"/>
    <x v="1"/>
    <d v="2024-05-30T00:00:00"/>
    <x v="11"/>
    <x v="0"/>
    <n v="127"/>
    <n v="106"/>
    <n v="4"/>
    <n v="9"/>
    <n v="39"/>
    <n v="0.19"/>
    <n v="51"/>
    <n v="0"/>
    <x v="1"/>
    <x v="1"/>
  </r>
  <r>
    <n v="3358"/>
    <x v="1"/>
    <d v="2024-09-08T00:00:00"/>
    <x v="2"/>
    <x v="0"/>
    <n v="80"/>
    <n v="82"/>
    <n v="31"/>
    <n v="70"/>
    <n v="34.200000000000003"/>
    <n v="1.292"/>
    <n v="27"/>
    <n v="1"/>
    <x v="0"/>
    <x v="0"/>
  </r>
  <r>
    <n v="4374"/>
    <x v="0"/>
    <d v="2021-08-14T00:00:00"/>
    <x v="9"/>
    <x v="2"/>
    <n v="162"/>
    <n v="84"/>
    <n v="4"/>
    <n v="9"/>
    <n v="27.7"/>
    <n v="0.182"/>
    <n v="54"/>
    <n v="0"/>
    <x v="1"/>
    <x v="1"/>
  </r>
  <r>
    <n v="5225"/>
    <x v="0"/>
    <d v="2023-02-24T00:00:00"/>
    <x v="3"/>
    <x v="1"/>
    <n v="167"/>
    <n v="106"/>
    <n v="46"/>
    <n v="231"/>
    <n v="37.6"/>
    <n v="0.16500000000000001"/>
    <n v="43"/>
    <n v="1"/>
    <x v="0"/>
    <x v="2"/>
  </r>
  <r>
    <n v="9852"/>
    <x v="1"/>
    <d v="2024-08-06T00:00:00"/>
    <x v="9"/>
    <x v="0"/>
    <n v="145"/>
    <n v="80"/>
    <n v="46"/>
    <n v="130"/>
    <n v="37.9"/>
    <n v="0.63700000000000001"/>
    <n v="40"/>
    <n v="1"/>
    <x v="0"/>
    <x v="2"/>
  </r>
  <r>
    <n v="3354"/>
    <x v="1"/>
    <d v="2024-12-11T00:00:00"/>
    <x v="10"/>
    <x v="0"/>
    <n v="112"/>
    <n v="80"/>
    <n v="45"/>
    <n v="132"/>
    <n v="34.799999999999997"/>
    <n v="0.217"/>
    <n v="24"/>
    <n v="0"/>
    <x v="1"/>
    <x v="0"/>
  </r>
  <r>
    <n v="1238"/>
    <x v="0"/>
    <d v="2021-05-31T00:00:00"/>
    <x v="11"/>
    <x v="2"/>
    <n v="98"/>
    <n v="58"/>
    <n v="33"/>
    <n v="190"/>
    <n v="34"/>
    <n v="0.43"/>
    <n v="43"/>
    <n v="0"/>
    <x v="1"/>
    <x v="2"/>
  </r>
  <r>
    <n v="4933"/>
    <x v="1"/>
    <d v="2022-05-29T00:00:00"/>
    <x v="11"/>
    <x v="3"/>
    <n v="154"/>
    <n v="78"/>
    <n v="30"/>
    <n v="100"/>
    <n v="30.9"/>
    <n v="0.16400000000000001"/>
    <n v="45"/>
    <n v="0"/>
    <x v="1"/>
    <x v="2"/>
  </r>
  <r>
    <n v="3893"/>
    <x v="0"/>
    <d v="2021-04-04T00:00:00"/>
    <x v="8"/>
    <x v="2"/>
    <n v="165"/>
    <n v="68"/>
    <n v="26"/>
    <n v="168"/>
    <n v="33.6"/>
    <n v="0.63100000000000001"/>
    <n v="49"/>
    <n v="0"/>
    <x v="1"/>
    <x v="2"/>
  </r>
  <r>
    <n v="7266"/>
    <x v="0"/>
    <d v="2022-09-02T00:00:00"/>
    <x v="2"/>
    <x v="3"/>
    <n v="68"/>
    <n v="106"/>
    <n v="23"/>
    <n v="49"/>
    <n v="35.5"/>
    <n v="0.28499999999999998"/>
    <n v="47"/>
    <n v="0"/>
    <x v="1"/>
    <x v="2"/>
  </r>
  <r>
    <n v="3222"/>
    <x v="1"/>
    <d v="2023-03-03T00:00:00"/>
    <x v="1"/>
    <x v="1"/>
    <n v="123"/>
    <n v="100"/>
    <n v="35"/>
    <n v="240"/>
    <n v="57.3"/>
    <n v="0.88"/>
    <n v="22"/>
    <n v="0"/>
    <x v="1"/>
    <x v="0"/>
  </r>
  <r>
    <n v="3698"/>
    <x v="0"/>
    <d v="2024-07-28T00:00:00"/>
    <x v="0"/>
    <x v="0"/>
    <n v="91"/>
    <n v="82"/>
    <n v="4"/>
    <n v="14"/>
    <n v="35.6"/>
    <n v="0.58699999999999997"/>
    <n v="68"/>
    <n v="0"/>
    <x v="1"/>
    <x v="3"/>
  </r>
  <r>
    <n v="6468"/>
    <x v="0"/>
    <d v="2023-08-05T00:00:00"/>
    <x v="9"/>
    <x v="1"/>
    <n v="195"/>
    <n v="70"/>
    <n v="4"/>
    <n v="14"/>
    <n v="30.9"/>
    <n v="0.32800000000000001"/>
    <n v="31"/>
    <n v="1"/>
    <x v="0"/>
    <x v="0"/>
  </r>
  <r>
    <n v="7363"/>
    <x v="1"/>
    <d v="2024-03-10T00:00:00"/>
    <x v="1"/>
    <x v="0"/>
    <n v="156"/>
    <n v="86"/>
    <n v="4"/>
    <n v="14"/>
    <n v="24.8"/>
    <n v="0.23"/>
    <n v="53"/>
    <n v="1"/>
    <x v="0"/>
    <x v="1"/>
  </r>
  <r>
    <n v="9352"/>
    <x v="0"/>
    <d v="2021-06-27T00:00:00"/>
    <x v="5"/>
    <x v="2"/>
    <n v="93"/>
    <n v="60"/>
    <n v="4"/>
    <n v="14"/>
    <n v="35.299999999999997"/>
    <n v="0.26300000000000001"/>
    <n v="25"/>
    <n v="0"/>
    <x v="1"/>
    <x v="0"/>
  </r>
  <r>
    <n v="5261"/>
    <x v="1"/>
    <d v="2024-09-22T00:00:00"/>
    <x v="2"/>
    <x v="0"/>
    <n v="121"/>
    <n v="52"/>
    <n v="4"/>
    <n v="14"/>
    <n v="36"/>
    <n v="0.127"/>
    <n v="25"/>
    <n v="1"/>
    <x v="0"/>
    <x v="0"/>
  </r>
  <r>
    <n v="8763"/>
    <x v="0"/>
    <d v="2022-07-03T00:00:00"/>
    <x v="0"/>
    <x v="3"/>
    <n v="101"/>
    <n v="58"/>
    <n v="17"/>
    <n v="265"/>
    <n v="24.2"/>
    <n v="0.61399999999999999"/>
    <n v="23"/>
    <n v="0"/>
    <x v="1"/>
    <x v="0"/>
  </r>
  <r>
    <n v="5963"/>
    <x v="0"/>
    <d v="2023-04-02T00:00:00"/>
    <x v="8"/>
    <x v="1"/>
    <n v="56"/>
    <n v="56"/>
    <n v="28"/>
    <n v="45"/>
    <n v="24.2"/>
    <n v="0.33200000000000002"/>
    <n v="22"/>
    <n v="0"/>
    <x v="1"/>
    <x v="0"/>
  </r>
  <r>
    <n v="4511"/>
    <x v="0"/>
    <d v="2021-06-23T00:00:00"/>
    <x v="5"/>
    <x v="2"/>
    <n v="95"/>
    <n v="64"/>
    <n v="39"/>
    <n v="105"/>
    <n v="44.6"/>
    <n v="0.36599999999999999"/>
    <n v="22"/>
    <n v="0"/>
    <x v="1"/>
    <x v="0"/>
  </r>
  <r>
    <n v="8324"/>
    <x v="0"/>
    <d v="2022-09-23T00:00:00"/>
    <x v="2"/>
    <x v="3"/>
    <n v="125"/>
    <n v="80"/>
    <n v="4"/>
    <n v="14"/>
    <n v="32.299999999999997"/>
    <n v="0.53600000000000003"/>
    <n v="27"/>
    <n v="1"/>
    <x v="0"/>
    <x v="0"/>
  </r>
  <r>
    <n v="4394"/>
    <x v="0"/>
    <d v="2024-05-13T00:00:00"/>
    <x v="11"/>
    <x v="0"/>
    <n v="129"/>
    <n v="74"/>
    <n v="26"/>
    <n v="205"/>
    <n v="33.200000000000003"/>
    <n v="0.59099999999999997"/>
    <n v="25"/>
    <n v="0"/>
    <x v="1"/>
    <x v="0"/>
  </r>
  <r>
    <n v="3503"/>
    <x v="1"/>
    <d v="2022-01-28T00:00:00"/>
    <x v="6"/>
    <x v="3"/>
    <n v="130"/>
    <n v="64"/>
    <n v="37"/>
    <n v="14"/>
    <n v="23.1"/>
    <n v="0.314"/>
    <n v="22"/>
    <n v="0"/>
    <x v="1"/>
    <x v="0"/>
  </r>
  <r>
    <n v="9130"/>
    <x v="1"/>
    <d v="2024-01-01T00:00:00"/>
    <x v="6"/>
    <x v="0"/>
    <n v="140"/>
    <n v="74"/>
    <n v="26"/>
    <n v="180"/>
    <n v="24.1"/>
    <n v="0.82799999999999996"/>
    <n v="23"/>
    <n v="0"/>
    <x v="1"/>
    <x v="0"/>
  </r>
  <r>
    <n v="1146"/>
    <x v="1"/>
    <d v="2024-04-15T00:00:00"/>
    <x v="8"/>
    <x v="0"/>
    <n v="144"/>
    <n v="82"/>
    <n v="46"/>
    <n v="180"/>
    <n v="46.1"/>
    <n v="0.33500000000000002"/>
    <n v="46"/>
    <n v="1"/>
    <x v="0"/>
    <x v="2"/>
  </r>
  <r>
    <n v="5720"/>
    <x v="0"/>
    <d v="2021-10-17T00:00:00"/>
    <x v="7"/>
    <x v="2"/>
    <n v="107"/>
    <n v="80"/>
    <n v="37"/>
    <n v="14"/>
    <n v="24.6"/>
    <n v="0.85599999999999998"/>
    <n v="34"/>
    <n v="0"/>
    <x v="1"/>
    <x v="0"/>
  </r>
  <r>
    <n v="4953"/>
    <x v="1"/>
    <d v="2021-08-05T00:00:00"/>
    <x v="9"/>
    <x v="2"/>
    <n v="158"/>
    <n v="114"/>
    <n v="37"/>
    <n v="14"/>
    <n v="42.3"/>
    <n v="0.25700000000000001"/>
    <n v="44"/>
    <n v="1"/>
    <x v="0"/>
    <x v="2"/>
  </r>
  <r>
    <n v="5316"/>
    <x v="0"/>
    <d v="2021-04-02T00:00:00"/>
    <x v="8"/>
    <x v="2"/>
    <n v="121"/>
    <n v="70"/>
    <n v="32"/>
    <n v="95"/>
    <n v="39.1"/>
    <n v="0.88600000000000001"/>
    <n v="23"/>
    <n v="0"/>
    <x v="1"/>
    <x v="0"/>
  </r>
  <r>
    <n v="1997"/>
    <x v="1"/>
    <d v="2024-05-13T00:00:00"/>
    <x v="11"/>
    <x v="0"/>
    <n v="129"/>
    <n v="68"/>
    <n v="49"/>
    <n v="125"/>
    <n v="38.5"/>
    <n v="0.439"/>
    <n v="43"/>
    <n v="1"/>
    <x v="0"/>
    <x v="2"/>
  </r>
  <r>
    <n v="7561"/>
    <x v="0"/>
    <d v="2024-08-17T00:00:00"/>
    <x v="9"/>
    <x v="0"/>
    <n v="90"/>
    <n v="60"/>
    <n v="37"/>
    <n v="14"/>
    <n v="23.5"/>
    <n v="0.191"/>
    <n v="25"/>
    <n v="0"/>
    <x v="1"/>
    <x v="0"/>
  </r>
  <r>
    <n v="3448"/>
    <x v="1"/>
    <d v="2022-06-19T00:00:00"/>
    <x v="5"/>
    <x v="3"/>
    <n v="142"/>
    <n v="90"/>
    <n v="24"/>
    <n v="480"/>
    <n v="30.4"/>
    <n v="0.128"/>
    <n v="43"/>
    <n v="1"/>
    <x v="0"/>
    <x v="2"/>
  </r>
  <r>
    <n v="3576"/>
    <x v="1"/>
    <d v="2022-10-31T00:00:00"/>
    <x v="7"/>
    <x v="3"/>
    <n v="169"/>
    <n v="74"/>
    <n v="19"/>
    <n v="125"/>
    <n v="29.9"/>
    <n v="0.26800000000000002"/>
    <n v="31"/>
    <n v="1"/>
    <x v="0"/>
    <x v="0"/>
  </r>
  <r>
    <n v="8153"/>
    <x v="0"/>
    <d v="2021-03-18T00:00:00"/>
    <x v="1"/>
    <x v="2"/>
    <n v="127"/>
    <n v="88"/>
    <n v="11"/>
    <n v="155"/>
    <n v="34.5"/>
    <n v="0.59799999999999998"/>
    <n v="28"/>
    <n v="0"/>
    <x v="1"/>
    <x v="0"/>
  </r>
  <r>
    <n v="9029"/>
    <x v="0"/>
    <d v="2023-06-21T00:00:00"/>
    <x v="5"/>
    <x v="1"/>
    <n v="118"/>
    <n v="70"/>
    <n v="37"/>
    <n v="14"/>
    <n v="44.5"/>
    <n v="0.90400000000000003"/>
    <n v="26"/>
    <n v="0"/>
    <x v="1"/>
    <x v="0"/>
  </r>
  <r>
    <n v="6756"/>
    <x v="0"/>
    <d v="2023-07-17T00:00:00"/>
    <x v="0"/>
    <x v="1"/>
    <n v="122"/>
    <n v="76"/>
    <n v="27"/>
    <n v="200"/>
    <n v="35.9"/>
    <n v="0.48299999999999998"/>
    <n v="26"/>
    <n v="0"/>
    <x v="1"/>
    <x v="0"/>
  </r>
  <r>
    <n v="4789"/>
    <x v="0"/>
    <d v="2024-05-28T00:00:00"/>
    <x v="11"/>
    <x v="0"/>
    <n v="110"/>
    <n v="76"/>
    <n v="20"/>
    <n v="100"/>
    <n v="28.4"/>
    <n v="0.11799999999999999"/>
    <n v="27"/>
    <n v="0"/>
    <x v="1"/>
    <x v="0"/>
  </r>
  <r>
    <n v="6318"/>
    <x v="0"/>
    <d v="2023-02-20T00:00:00"/>
    <x v="3"/>
    <x v="1"/>
    <n v="127"/>
    <n v="46"/>
    <n v="21"/>
    <n v="335"/>
    <n v="34.4"/>
    <n v="0.17599999999999999"/>
    <n v="22"/>
    <n v="0"/>
    <x v="1"/>
    <x v="0"/>
  </r>
  <r>
    <n v="1992"/>
    <x v="1"/>
    <d v="2023-05-14T00:00:00"/>
    <x v="11"/>
    <x v="1"/>
    <n v="164"/>
    <n v="78"/>
    <n v="37"/>
    <n v="14"/>
    <n v="32.799999999999997"/>
    <n v="0.14799999999999999"/>
    <n v="45"/>
    <n v="1"/>
    <x v="0"/>
    <x v="2"/>
  </r>
  <r>
    <n v="6774"/>
    <x v="0"/>
    <d v="2021-11-14T00:00:00"/>
    <x v="4"/>
    <x v="2"/>
    <n v="93"/>
    <n v="64"/>
    <n v="32"/>
    <n v="160"/>
    <n v="38"/>
    <n v="0.67400000000000004"/>
    <n v="23"/>
    <n v="1"/>
    <x v="0"/>
    <x v="0"/>
  </r>
  <r>
    <n v="4032"/>
    <x v="1"/>
    <d v="2021-05-06T00:00:00"/>
    <x v="11"/>
    <x v="2"/>
    <n v="158"/>
    <n v="64"/>
    <n v="13"/>
    <n v="387"/>
    <n v="31.2"/>
    <n v="0.29499999999999998"/>
    <n v="24"/>
    <n v="0"/>
    <x v="1"/>
    <x v="0"/>
  </r>
  <r>
    <n v="9386"/>
    <x v="1"/>
    <d v="2024-07-14T00:00:00"/>
    <x v="0"/>
    <x v="0"/>
    <n v="126"/>
    <n v="78"/>
    <n v="27"/>
    <n v="22"/>
    <n v="29.6"/>
    <n v="0.439"/>
    <n v="40"/>
    <n v="0"/>
    <x v="1"/>
    <x v="2"/>
  </r>
  <r>
    <n v="7127"/>
    <x v="0"/>
    <d v="2021-12-14T00:00:00"/>
    <x v="10"/>
    <x v="2"/>
    <n v="134"/>
    <n v="58"/>
    <n v="20"/>
    <n v="291"/>
    <n v="26.4"/>
    <n v="0.35199999999999998"/>
    <n v="21"/>
    <n v="0"/>
    <x v="1"/>
    <x v="0"/>
  </r>
  <r>
    <n v="5373"/>
    <x v="1"/>
    <d v="2022-04-10T00:00:00"/>
    <x v="8"/>
    <x v="3"/>
    <n v="102"/>
    <n v="74"/>
    <n v="37"/>
    <n v="14"/>
    <n v="29.5"/>
    <n v="0.121"/>
    <n v="32"/>
    <n v="0"/>
    <x v="1"/>
    <x v="0"/>
  </r>
  <r>
    <n v="2176"/>
    <x v="1"/>
    <d v="2023-07-19T00:00:00"/>
    <x v="0"/>
    <x v="1"/>
    <n v="187"/>
    <n v="50"/>
    <n v="33"/>
    <n v="392"/>
    <n v="33.9"/>
    <n v="0.82599999999999996"/>
    <n v="34"/>
    <n v="1"/>
    <x v="0"/>
    <x v="0"/>
  </r>
  <r>
    <n v="6555"/>
    <x v="1"/>
    <d v="2021-07-12T00:00:00"/>
    <x v="0"/>
    <x v="2"/>
    <n v="173"/>
    <n v="78"/>
    <n v="39"/>
    <n v="185"/>
    <n v="33.799999999999997"/>
    <n v="0.97"/>
    <n v="31"/>
    <n v="1"/>
    <x v="0"/>
    <x v="0"/>
  </r>
  <r>
    <n v="4737"/>
    <x v="1"/>
    <d v="2022-06-11T00:00:00"/>
    <x v="5"/>
    <x v="3"/>
    <n v="108"/>
    <n v="60"/>
    <n v="46"/>
    <n v="178"/>
    <n v="35.5"/>
    <n v="0.41499999999999998"/>
    <n v="24"/>
    <n v="0"/>
    <x v="1"/>
    <x v="0"/>
  </r>
  <r>
    <n v="7306"/>
    <x v="1"/>
    <d v="2024-04-20T00:00:00"/>
    <x v="8"/>
    <x v="0"/>
    <n v="114"/>
    <n v="66"/>
    <n v="36"/>
    <n v="200"/>
    <n v="38.1"/>
    <n v="0.28899999999999998"/>
    <n v="21"/>
    <n v="0"/>
    <x v="1"/>
    <x v="0"/>
  </r>
  <r>
    <n v="8208"/>
    <x v="1"/>
    <d v="2024-10-21T00:00:00"/>
    <x v="7"/>
    <x v="0"/>
    <n v="149"/>
    <n v="68"/>
    <n v="29"/>
    <n v="127"/>
    <n v="29.3"/>
    <n v="0.34899999999999998"/>
    <n v="42"/>
    <n v="1"/>
    <x v="0"/>
    <x v="2"/>
  </r>
  <r>
    <n v="8605"/>
    <x v="1"/>
    <d v="2022-11-26T00:00:00"/>
    <x v="4"/>
    <x v="3"/>
    <n v="117"/>
    <n v="86"/>
    <n v="30"/>
    <n v="105"/>
    <n v="39.1"/>
    <n v="0.251"/>
    <n v="42"/>
    <n v="0"/>
    <x v="1"/>
    <x v="2"/>
  </r>
  <r>
    <n v="5792"/>
    <x v="1"/>
    <d v="2021-07-26T00:00:00"/>
    <x v="0"/>
    <x v="2"/>
    <n v="111"/>
    <n v="94"/>
    <n v="37"/>
    <n v="14"/>
    <n v="32.799999999999997"/>
    <n v="0.26500000000000001"/>
    <n v="45"/>
    <n v="0"/>
    <x v="1"/>
    <x v="2"/>
  </r>
  <r>
    <n v="4572"/>
    <x v="1"/>
    <d v="2023-06-20T00:00:00"/>
    <x v="5"/>
    <x v="1"/>
    <n v="116"/>
    <n v="78"/>
    <n v="29"/>
    <n v="180"/>
    <n v="36.1"/>
    <n v="0.496"/>
    <n v="25"/>
    <n v="0"/>
    <x v="1"/>
    <x v="0"/>
  </r>
  <r>
    <n v="3726"/>
    <x v="0"/>
    <d v="2024-12-12T00:00:00"/>
    <x v="10"/>
    <x v="0"/>
    <n v="175"/>
    <n v="88"/>
    <n v="37"/>
    <n v="14"/>
    <n v="22.9"/>
    <n v="0.32600000000000001"/>
    <n v="22"/>
    <n v="0"/>
    <x v="1"/>
    <x v="0"/>
  </r>
  <r>
    <n v="5811"/>
    <x v="0"/>
    <d v="2021-11-14T00:00:00"/>
    <x v="4"/>
    <x v="2"/>
    <n v="92"/>
    <n v="52"/>
    <n v="37"/>
    <n v="14"/>
    <n v="30.1"/>
    <n v="0.14099999999999999"/>
    <n v="22"/>
    <n v="0"/>
    <x v="1"/>
    <x v="0"/>
  </r>
  <r>
    <n v="5569"/>
    <x v="1"/>
    <d v="2022-05-18T00:00:00"/>
    <x v="11"/>
    <x v="3"/>
    <n v="130"/>
    <n v="78"/>
    <n v="23"/>
    <n v="79"/>
    <n v="28.4"/>
    <n v="0.32300000000000001"/>
    <n v="34"/>
    <n v="1"/>
    <x v="0"/>
    <x v="0"/>
  </r>
  <r>
    <n v="3186"/>
    <x v="0"/>
    <d v="2022-08-04T00:00:00"/>
    <x v="9"/>
    <x v="3"/>
    <n v="120"/>
    <n v="86"/>
    <n v="37"/>
    <n v="14"/>
    <n v="28.4"/>
    <n v="0.25900000000000001"/>
    <n v="22"/>
    <n v="1"/>
    <x v="0"/>
    <x v="0"/>
  </r>
  <r>
    <n v="4888"/>
    <x v="0"/>
    <d v="2022-10-20T00:00:00"/>
    <x v="7"/>
    <x v="3"/>
    <n v="174"/>
    <n v="88"/>
    <n v="37"/>
    <n v="120"/>
    <n v="44.5"/>
    <n v="0.64600000000000002"/>
    <n v="24"/>
    <n v="1"/>
    <x v="0"/>
    <x v="0"/>
  </r>
  <r>
    <n v="3182"/>
    <x v="0"/>
    <d v="2024-01-17T00:00:00"/>
    <x v="6"/>
    <x v="0"/>
    <n v="106"/>
    <n v="56"/>
    <n v="27"/>
    <n v="165"/>
    <n v="29"/>
    <n v="0.42599999999999999"/>
    <n v="22"/>
    <n v="0"/>
    <x v="1"/>
    <x v="0"/>
  </r>
  <r>
    <n v="7328"/>
    <x v="0"/>
    <d v="2021-09-02T00:00:00"/>
    <x v="2"/>
    <x v="2"/>
    <n v="105"/>
    <n v="75"/>
    <n v="37"/>
    <n v="14"/>
    <n v="23.3"/>
    <n v="0.56000000000000005"/>
    <n v="53"/>
    <n v="0"/>
    <x v="1"/>
    <x v="1"/>
  </r>
  <r>
    <n v="6331"/>
    <x v="0"/>
    <d v="2022-06-01T00:00:00"/>
    <x v="5"/>
    <x v="3"/>
    <n v="126"/>
    <n v="86"/>
    <n v="27"/>
    <n v="120"/>
    <n v="27.4"/>
    <n v="0.51500000000000001"/>
    <n v="21"/>
    <n v="0"/>
    <x v="1"/>
    <x v="0"/>
  </r>
  <r>
    <n v="6383"/>
    <x v="0"/>
    <d v="2024-06-21T00:00:00"/>
    <x v="5"/>
    <x v="0"/>
    <n v="99"/>
    <n v="60"/>
    <n v="17"/>
    <n v="160"/>
    <n v="36.6"/>
    <n v="0.45300000000000001"/>
    <n v="21"/>
    <n v="0"/>
    <x v="1"/>
    <x v="0"/>
  </r>
  <r>
    <n v="6717"/>
    <x v="1"/>
    <d v="2024-10-28T00:00:00"/>
    <x v="7"/>
    <x v="0"/>
    <n v="102"/>
    <n v="74"/>
    <n v="37"/>
    <n v="14"/>
    <n v="39.5"/>
    <n v="0.29299999999999998"/>
    <n v="42"/>
    <n v="1"/>
    <x v="0"/>
    <x v="2"/>
  </r>
  <r>
    <n v="6967"/>
    <x v="1"/>
    <d v="2024-06-17T00:00:00"/>
    <x v="5"/>
    <x v="0"/>
    <n v="120"/>
    <n v="80"/>
    <n v="37"/>
    <n v="150"/>
    <n v="42.3"/>
    <n v="0.78500000000000003"/>
    <n v="48"/>
    <n v="1"/>
    <x v="0"/>
    <x v="2"/>
  </r>
  <r>
    <n v="1571"/>
    <x v="1"/>
    <d v="2021-01-07T00:00:00"/>
    <x v="6"/>
    <x v="2"/>
    <n v="102"/>
    <n v="44"/>
    <n v="20"/>
    <n v="94"/>
    <n v="30.8"/>
    <n v="0.4"/>
    <n v="26"/>
    <n v="0"/>
    <x v="1"/>
    <x v="0"/>
  </r>
  <r>
    <n v="6696"/>
    <x v="1"/>
    <d v="2021-12-16T00:00:00"/>
    <x v="10"/>
    <x v="2"/>
    <n v="109"/>
    <n v="58"/>
    <n v="18"/>
    <n v="116"/>
    <n v="28.5"/>
    <n v="0.219"/>
    <n v="22"/>
    <n v="0"/>
    <x v="1"/>
    <x v="0"/>
  </r>
  <r>
    <n v="1212"/>
    <x v="1"/>
    <d v="2021-03-28T00:00:00"/>
    <x v="1"/>
    <x v="2"/>
    <n v="140"/>
    <n v="94"/>
    <n v="37"/>
    <n v="14"/>
    <n v="32.700000000000003"/>
    <n v="0.73399999999999999"/>
    <n v="45"/>
    <n v="1"/>
    <x v="0"/>
    <x v="2"/>
  </r>
  <r>
    <n v="4707"/>
    <x v="1"/>
    <d v="2022-06-16T00:00:00"/>
    <x v="5"/>
    <x v="3"/>
    <n v="153"/>
    <n v="88"/>
    <n v="37"/>
    <n v="140"/>
    <n v="40.6"/>
    <n v="1.1739999999999999"/>
    <n v="39"/>
    <n v="0"/>
    <x v="1"/>
    <x v="2"/>
  </r>
  <r>
    <n v="4043"/>
    <x v="0"/>
    <d v="2022-09-21T00:00:00"/>
    <x v="2"/>
    <x v="3"/>
    <n v="100"/>
    <n v="84"/>
    <n v="33"/>
    <n v="105"/>
    <n v="30"/>
    <n v="0.48799999999999999"/>
    <n v="46"/>
    <n v="0"/>
    <x v="1"/>
    <x v="2"/>
  </r>
  <r>
    <n v="7909"/>
    <x v="1"/>
    <d v="2022-11-26T00:00:00"/>
    <x v="4"/>
    <x v="3"/>
    <n v="81"/>
    <n v="74"/>
    <n v="41"/>
    <n v="57"/>
    <n v="46.3"/>
    <n v="1.0960000000000001"/>
    <n v="32"/>
    <n v="0"/>
    <x v="1"/>
    <x v="0"/>
  </r>
  <r>
    <n v="3470"/>
    <x v="1"/>
    <d v="2023-01-29T00:00:00"/>
    <x v="6"/>
    <x v="1"/>
    <n v="187"/>
    <n v="70"/>
    <n v="22"/>
    <n v="200"/>
    <n v="36.4"/>
    <n v="0.40799999999999997"/>
    <n v="36"/>
    <n v="1"/>
    <x v="0"/>
    <x v="2"/>
  </r>
  <r>
    <n v="4893"/>
    <x v="0"/>
    <d v="2022-05-30T00:00:00"/>
    <x v="11"/>
    <x v="3"/>
    <n v="162"/>
    <n v="62"/>
    <n v="37"/>
    <n v="14"/>
    <n v="24.3"/>
    <n v="0.17799999999999999"/>
    <n v="50"/>
    <n v="1"/>
    <x v="0"/>
    <x v="2"/>
  </r>
  <r>
    <n v="2185"/>
    <x v="0"/>
    <d v="2024-07-08T00:00:00"/>
    <x v="0"/>
    <x v="0"/>
    <n v="136"/>
    <n v="70"/>
    <n v="37"/>
    <n v="14"/>
    <n v="31.2"/>
    <n v="1.1819999999999999"/>
    <n v="22"/>
    <n v="1"/>
    <x v="0"/>
    <x v="0"/>
  </r>
  <r>
    <n v="6943"/>
    <x v="1"/>
    <d v="2021-12-11T00:00:00"/>
    <x v="10"/>
    <x v="2"/>
    <n v="121"/>
    <n v="78"/>
    <n v="39"/>
    <n v="74"/>
    <n v="39"/>
    <n v="0.26100000000000001"/>
    <n v="28"/>
    <n v="0"/>
    <x v="1"/>
    <x v="0"/>
  </r>
  <r>
    <n v="7897"/>
    <x v="0"/>
    <d v="2022-12-19T00:00:00"/>
    <x v="10"/>
    <x v="3"/>
    <n v="181"/>
    <n v="88"/>
    <n v="44"/>
    <n v="510"/>
    <n v="43.3"/>
    <n v="0.222"/>
    <n v="26"/>
    <n v="1"/>
    <x v="0"/>
    <x v="0"/>
  </r>
  <r>
    <n v="7071"/>
    <x v="1"/>
    <d v="2024-09-20T00:00:00"/>
    <x v="2"/>
    <x v="0"/>
    <n v="128"/>
    <n v="88"/>
    <n v="39"/>
    <n v="110"/>
    <n v="36.5"/>
    <n v="1.0569999999999999"/>
    <n v="37"/>
    <n v="1"/>
    <x v="0"/>
    <x v="2"/>
  </r>
  <r>
    <n v="5764"/>
    <x v="0"/>
    <d v="2022-05-19T00:00:00"/>
    <x v="11"/>
    <x v="3"/>
    <n v="123"/>
    <n v="72"/>
    <n v="38"/>
    <n v="14"/>
    <n v="36.299999999999997"/>
    <n v="0.25800000000000001"/>
    <n v="52"/>
    <n v="1"/>
    <x v="0"/>
    <x v="1"/>
  </r>
  <r>
    <n v="8425"/>
    <x v="1"/>
    <d v="2021-10-02T00:00:00"/>
    <x v="7"/>
    <x v="2"/>
    <n v="106"/>
    <n v="76"/>
    <n v="38"/>
    <n v="14"/>
    <n v="37.5"/>
    <n v="0.19700000000000001"/>
    <n v="26"/>
    <n v="0"/>
    <x v="1"/>
    <x v="0"/>
  </r>
  <r>
    <n v="4221"/>
    <x v="0"/>
    <d v="2022-09-13T00:00:00"/>
    <x v="2"/>
    <x v="3"/>
    <n v="190"/>
    <n v="92"/>
    <n v="38"/>
    <n v="14"/>
    <n v="35.5"/>
    <n v="0.27800000000000002"/>
    <n v="66"/>
    <n v="1"/>
    <x v="0"/>
    <x v="3"/>
  </r>
  <r>
    <n v="8160"/>
    <x v="0"/>
    <d v="2024-10-30T00:00:00"/>
    <x v="7"/>
    <x v="0"/>
    <n v="88"/>
    <n v="58"/>
    <n v="26"/>
    <n v="16"/>
    <n v="28.4"/>
    <n v="0.76600000000000001"/>
    <n v="22"/>
    <n v="0"/>
    <x v="1"/>
    <x v="0"/>
  </r>
  <r>
    <n v="8969"/>
    <x v="1"/>
    <d v="2021-04-10T00:00:00"/>
    <x v="8"/>
    <x v="2"/>
    <n v="89"/>
    <n v="62"/>
    <n v="38"/>
    <n v="14"/>
    <n v="22.5"/>
    <n v="0.14199999999999999"/>
    <n v="33"/>
    <n v="0"/>
    <x v="1"/>
    <x v="0"/>
  </r>
  <r>
    <n v="5798"/>
    <x v="0"/>
    <d v="2021-06-16T00:00:00"/>
    <x v="5"/>
    <x v="2"/>
    <n v="101"/>
    <n v="76"/>
    <n v="48"/>
    <n v="180"/>
    <n v="32.9"/>
    <n v="0.17100000000000001"/>
    <n v="63"/>
    <n v="0"/>
    <x v="1"/>
    <x v="1"/>
  </r>
  <r>
    <n v="9852"/>
    <x v="1"/>
    <d v="2022-01-06T00:00:00"/>
    <x v="6"/>
    <x v="3"/>
    <n v="121"/>
    <n v="72"/>
    <n v="23"/>
    <n v="112"/>
    <n v="26.2"/>
    <n v="0.245"/>
    <n v="30"/>
    <n v="0"/>
    <x v="1"/>
    <x v="0"/>
  </r>
  <r>
    <n v="5783"/>
    <x v="1"/>
    <d v="2021-10-25T00:00:00"/>
    <x v="7"/>
    <x v="2"/>
    <n v="126"/>
    <n v="60"/>
    <n v="38"/>
    <n v="14"/>
    <n v="30.1"/>
    <n v="0.34899999999999998"/>
    <n v="47"/>
    <n v="1"/>
    <x v="0"/>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CE6B8C5-D8C0-42BF-AF2C-700B9EFFC6AE}" name="PivotTable4" cacheId="1673" dataOnRows="1"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O3:O4" firstHeaderRow="1" firstDataRow="1" firstDataCol="0"/>
  <pivotFields count="15">
    <pivotField dataField="1" compact="0" outline="0" showAll="0"/>
    <pivotField compact="0" outline="0" showAll="0"/>
    <pivotField compact="0" numFmtId="14" outline="0" showAll="0"/>
    <pivotField compact="0" outline="0" showAll="0">
      <items count="13">
        <item h="1" x="6"/>
        <item h="1" x="3"/>
        <item h="1" x="1"/>
        <item h="1" x="8"/>
        <item x="11"/>
        <item h="1" x="5"/>
        <item h="1" x="0"/>
        <item h="1" x="9"/>
        <item h="1" x="2"/>
        <item h="1" x="7"/>
        <item h="1" x="4"/>
        <item h="1" x="10"/>
        <item t="default"/>
      </items>
    </pivotField>
    <pivotField compact="0" outline="0" showAll="0">
      <items count="5">
        <item h="1" x="2"/>
        <item x="3"/>
        <item h="1" x="1"/>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Items count="1">
    <i/>
  </rowItems>
  <colItems count="1">
    <i/>
  </colItems>
  <dataFields count="1">
    <dataField name="Count of 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1C776FE-E696-4EE4-B352-E1C65F67FFBD}" name="PivotTable3" cacheId="1673" dataOnRows="1"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4">
  <location ref="I3:L6" firstHeaderRow="1" firstDataRow="2" firstDataCol="1"/>
  <pivotFields count="15">
    <pivotField compact="0" outline="0" showAll="0"/>
    <pivotField compact="0" outline="0" showAll="0"/>
    <pivotField compact="0" numFmtId="14" outline="0" showAll="0"/>
    <pivotField compact="0" outline="0" showAll="0">
      <items count="13">
        <item h="1" x="6"/>
        <item h="1" x="3"/>
        <item h="1" x="1"/>
        <item h="1" x="8"/>
        <item x="11"/>
        <item h="1" x="5"/>
        <item h="1" x="0"/>
        <item h="1" x="9"/>
        <item h="1" x="2"/>
        <item h="1" x="7"/>
        <item h="1" x="4"/>
        <item h="1" x="10"/>
        <item t="default"/>
      </items>
    </pivotField>
    <pivotField compact="0" outline="0" showAll="0">
      <items count="5">
        <item h="1" x="2"/>
        <item x="3"/>
        <item h="1" x="1"/>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dataField="1" compact="0" outline="0" showAll="0">
      <items count="5">
        <item m="1" x="2"/>
        <item m="1" x="3"/>
        <item x="0"/>
        <item x="1"/>
        <item t="default"/>
      </items>
    </pivotField>
    <pivotField axis="axisCol" compact="0" outline="0" showAll="0">
      <items count="5">
        <item x="2"/>
        <item x="1"/>
        <item x="3"/>
        <item x="0"/>
        <item t="default"/>
      </items>
    </pivotField>
  </pivotFields>
  <rowFields count="1">
    <field x="13"/>
  </rowFields>
  <rowItems count="2">
    <i>
      <x v="2"/>
    </i>
    <i>
      <x v="3"/>
    </i>
  </rowItems>
  <colFields count="1">
    <field x="14"/>
  </colFields>
  <colItems count="3">
    <i>
      <x/>
    </i>
    <i>
      <x v="1"/>
    </i>
    <i>
      <x v="3"/>
    </i>
  </colItems>
  <dataFields count="1">
    <dataField name="Count of Result" fld="13" subtotal="count" baseField="0" baseItem="0"/>
  </dataFields>
  <chartFormats count="4">
    <chartFormat chart="3" format="8" series="1">
      <pivotArea type="data" outline="0" fieldPosition="0">
        <references count="2">
          <reference field="4294967294" count="1" selected="0">
            <x v="0"/>
          </reference>
          <reference field="14" count="1" selected="0">
            <x v="0"/>
          </reference>
        </references>
      </pivotArea>
    </chartFormat>
    <chartFormat chart="3" format="9" series="1">
      <pivotArea type="data" outline="0" fieldPosition="0">
        <references count="2">
          <reference field="4294967294" count="1" selected="0">
            <x v="0"/>
          </reference>
          <reference field="14" count="1" selected="0">
            <x v="1"/>
          </reference>
        </references>
      </pivotArea>
    </chartFormat>
    <chartFormat chart="3" format="10" series="1">
      <pivotArea type="data" outline="0" fieldPosition="0">
        <references count="2">
          <reference field="4294967294" count="1" selected="0">
            <x v="0"/>
          </reference>
          <reference field="14" count="1" selected="0">
            <x v="2"/>
          </reference>
        </references>
      </pivotArea>
    </chartFormat>
    <chartFormat chart="3" format="11" series="1">
      <pivotArea type="data" outline="0" fieldPosition="0">
        <references count="2">
          <reference field="4294967294" count="1" selected="0">
            <x v="0"/>
          </reference>
          <reference field="1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B5FF421-D5F1-4393-83EE-4A0D47A5948A}" name="PivotTable2" cacheId="1673" dataOnRows="1"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8">
  <location ref="E3:G6" firstHeaderRow="1" firstDataRow="2" firstDataCol="1"/>
  <pivotFields count="15">
    <pivotField compact="0" outline="0" showAll="0"/>
    <pivotField axis="axisRow" compact="0" outline="0" showAll="0">
      <items count="3">
        <item x="1"/>
        <item x="0"/>
        <item t="default"/>
      </items>
    </pivotField>
    <pivotField compact="0" numFmtId="14" outline="0" showAll="0"/>
    <pivotField compact="0" outline="0" showAll="0">
      <items count="13">
        <item h="1" x="6"/>
        <item h="1" x="3"/>
        <item h="1" x="1"/>
        <item h="1" x="8"/>
        <item x="11"/>
        <item h="1" x="5"/>
        <item h="1" x="0"/>
        <item h="1" x="9"/>
        <item h="1" x="2"/>
        <item h="1" x="7"/>
        <item h="1" x="4"/>
        <item h="1" x="10"/>
        <item t="default"/>
      </items>
    </pivotField>
    <pivotField compact="0" outline="0" showAll="0">
      <items count="5">
        <item h="1" x="2"/>
        <item x="3"/>
        <item h="1" x="1"/>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dataField="1" compact="0" outline="0" showAll="0">
      <items count="5">
        <item m="1" x="2"/>
        <item m="1" x="3"/>
        <item x="0"/>
        <item x="1"/>
        <item t="default"/>
      </items>
    </pivotField>
    <pivotField compact="0" outline="0" showAll="0"/>
  </pivotFields>
  <rowFields count="1">
    <field x="1"/>
  </rowFields>
  <rowItems count="2">
    <i>
      <x/>
    </i>
    <i>
      <x v="1"/>
    </i>
  </rowItems>
  <colFields count="1">
    <field x="13"/>
  </colFields>
  <colItems count="2">
    <i>
      <x v="2"/>
    </i>
    <i>
      <x v="3"/>
    </i>
  </colItems>
  <dataFields count="1">
    <dataField name="Count of Result" fld="13" subtotal="count" baseField="0" baseItem="0"/>
  </dataFields>
  <chartFormats count="5">
    <chartFormat chart="5" format="4" series="1">
      <pivotArea type="data" outline="0" fieldPosition="0">
        <references count="2">
          <reference field="4294967294" count="1" selected="0">
            <x v="0"/>
          </reference>
          <reference field="13" count="1" selected="0">
            <x v="0"/>
          </reference>
        </references>
      </pivotArea>
    </chartFormat>
    <chartFormat chart="5" format="5" series="1">
      <pivotArea type="data" outline="0" fieldPosition="0">
        <references count="2">
          <reference field="4294967294" count="1" selected="0">
            <x v="0"/>
          </reference>
          <reference field="13" count="1" selected="0">
            <x v="1"/>
          </reference>
        </references>
      </pivotArea>
    </chartFormat>
    <chartFormat chart="5" format="6" series="1">
      <pivotArea type="data" outline="0" fieldPosition="0">
        <references count="2">
          <reference field="4294967294" count="1" selected="0">
            <x v="0"/>
          </reference>
          <reference field="13" count="1" selected="0">
            <x v="2"/>
          </reference>
        </references>
      </pivotArea>
    </chartFormat>
    <chartFormat chart="5" format="7" series="1">
      <pivotArea type="data" outline="0" fieldPosition="0">
        <references count="2">
          <reference field="4294967294" count="1" selected="0">
            <x v="0"/>
          </reference>
          <reference field="13" count="1" selected="0">
            <x v="3"/>
          </reference>
        </references>
      </pivotArea>
    </chartFormat>
    <chartFormat chart="5" format="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66C8067-E5E3-4800-8CB0-344EFED42319}" name="PivotTable1" cacheId="1673" dataOnRows="1"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B3:C5" firstHeaderRow="1" firstDataRow="1" firstDataCol="1"/>
  <pivotFields count="15">
    <pivotField compact="0" outline="0" showAll="0"/>
    <pivotField compact="0" outline="0" showAll="0"/>
    <pivotField compact="0" numFmtId="14" outline="0" showAll="0"/>
    <pivotField compact="0" outline="0" showAll="0">
      <items count="13">
        <item h="1" x="6"/>
        <item h="1" x="3"/>
        <item h="1" x="1"/>
        <item h="1" x="8"/>
        <item x="11"/>
        <item h="1" x="5"/>
        <item h="1" x="0"/>
        <item h="1" x="9"/>
        <item h="1" x="2"/>
        <item h="1" x="7"/>
        <item h="1" x="4"/>
        <item h="1" x="10"/>
        <item t="default"/>
      </items>
    </pivotField>
    <pivotField compact="0" outline="0" showAll="0">
      <items count="5">
        <item h="1" x="2"/>
        <item x="3"/>
        <item h="1" x="1"/>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dataField="1" compact="0" outline="0" showAll="0">
      <items count="5">
        <item m="1" x="2"/>
        <item m="1" x="3"/>
        <item x="0"/>
        <item x="1"/>
        <item t="default"/>
      </items>
    </pivotField>
    <pivotField compact="0" outline="0" showAll="0"/>
  </pivotFields>
  <rowFields count="1">
    <field x="13"/>
  </rowFields>
  <rowItems count="2">
    <i>
      <x v="2"/>
    </i>
    <i>
      <x v="3"/>
    </i>
  </rowItems>
  <colItems count="1">
    <i/>
  </colItems>
  <dataFields count="1">
    <dataField name="Count of Result" fld="1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B1D5243C-E4AB-4124-A387-872D378E0CBC}" sourceName="Month">
  <pivotTables>
    <pivotTable tabId="3" name="PivotTable4"/>
    <pivotTable tabId="3" name="PivotTable1"/>
    <pivotTable tabId="3" name="PivotTable2"/>
    <pivotTable tabId="3" name="PivotTable3"/>
  </pivotTables>
  <data>
    <tabular pivotCacheId="1600123645">
      <items count="12">
        <i x="6"/>
        <i x="3"/>
        <i x="1"/>
        <i x="8"/>
        <i x="11" s="1"/>
        <i x="5"/>
        <i x="0"/>
        <i x="9"/>
        <i x="2"/>
        <i x="7"/>
        <i x="4"/>
        <i x="10"/>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7CB86708-1B6C-4888-8411-C9BE52AA0397}" sourceName="Year">
  <pivotTables>
    <pivotTable tabId="3" name="PivotTable4"/>
    <pivotTable tabId="3" name="PivotTable1"/>
    <pivotTable tabId="3" name="PivotTable2"/>
    <pivotTable tabId="3" name="PivotTable3"/>
  </pivotTables>
  <data>
    <tabular pivotCacheId="1600123645">
      <items count="4">
        <i x="2"/>
        <i x="3" s="1"/>
        <i x="1"/>
        <i x="0"/>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2AEDFAE9-A055-4F6F-B924-654909160206}" cache="Slicer_Month" caption="Month" style="SlicerStyleOther1 2" rowHeight="247650"/>
  <slicer name="Year" xr10:uid="{35CA58D0-DCE0-490D-A97C-26C23192B3E9}" cache="Slicer_Year" caption="Year" columnCount="4" style="SlicerStyleOther1 2"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242705-7765-4BCD-AC05-A3BBA72149AB}" name="Table2" displayName="Table2" ref="B2:H34" totalsRowShown="0" headerRowDxfId="41" headerRowBorderDxfId="42" tableBorderDxfId="43">
  <autoFilter ref="B2:H34" xr:uid="{F6242705-7765-4BCD-AC05-A3BBA72149AB}"/>
  <tableColumns count="7">
    <tableColumn id="1" xr3:uid="{E76929CF-0FA8-4175-A972-27053714C542}" name="Glucose (mg/dL)"/>
    <tableColumn id="2" xr3:uid="{4936A2C5-8CFC-4DD4-97B8-373DFF3828EE}" name="systolic"/>
    <tableColumn id="3" xr3:uid="{03DBE257-1FAA-450A-8B6E-5EA7832868B8}" name="Diastolic"/>
    <tableColumn id="4" xr3:uid="{A284063A-1479-4B0D-82A5-BBF003AD96B3}" name="Skin Thickness (mm)"/>
    <tableColumn id="5" xr3:uid="{1577F69B-DE37-4EDB-8ACE-1A3CA03240D5}" name="Insulin (μU/mL)"/>
    <tableColumn id="6" xr3:uid="{83905DFB-C676-433D-9896-379F39DFF018}" name="BMI (kg/m²)"/>
    <tableColumn id="7" xr3:uid="{73D02B87-3D3B-4947-9A5A-DEB2BA798B5C}" name="Diabetes Pedigree Functio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EB6E98-3181-470D-8582-6927D1912FA8}">
  <sheetPr codeName="Sheet1"/>
  <dimension ref="A1:O585"/>
  <sheetViews>
    <sheetView workbookViewId="0">
      <selection activeCell="G9" sqref="G9"/>
    </sheetView>
  </sheetViews>
  <sheetFormatPr defaultRowHeight="14.4" x14ac:dyDescent="0.3"/>
  <cols>
    <col min="1" max="1" width="11" bestFit="1" customWidth="1"/>
    <col min="3" max="3" width="10.33203125" bestFit="1" customWidth="1"/>
    <col min="4" max="5" width="10.33203125" customWidth="1"/>
    <col min="6" max="6" width="9.88671875" bestFit="1" customWidth="1"/>
    <col min="7" max="7" width="15" bestFit="1" customWidth="1"/>
    <col min="8" max="8" width="14.5546875" bestFit="1" customWidth="1"/>
    <col min="9" max="9" width="8.44140625" bestFit="1" customWidth="1"/>
    <col min="10" max="10" width="6.21875" bestFit="1" customWidth="1"/>
    <col min="11" max="11" width="22.5546875" bestFit="1" customWidth="1"/>
    <col min="12" max="12" width="6.21875" bestFit="1" customWidth="1"/>
    <col min="13" max="13" width="10.6640625" bestFit="1" customWidth="1"/>
    <col min="14" max="14" width="10.77734375" bestFit="1" customWidth="1"/>
    <col min="15" max="15" width="11.44140625" bestFit="1" customWidth="1"/>
  </cols>
  <sheetData>
    <row r="1" spans="1:15" x14ac:dyDescent="0.3">
      <c r="A1" s="1" t="s">
        <v>12</v>
      </c>
      <c r="B1" s="1" t="s">
        <v>11</v>
      </c>
      <c r="C1" s="1" t="s">
        <v>10</v>
      </c>
      <c r="D1" s="1" t="s">
        <v>79</v>
      </c>
      <c r="E1" s="1" t="s">
        <v>80</v>
      </c>
      <c r="F1" s="1" t="s">
        <v>0</v>
      </c>
      <c r="G1" s="1" t="s">
        <v>1</v>
      </c>
      <c r="H1" s="1" t="s">
        <v>2</v>
      </c>
      <c r="I1" s="1" t="s">
        <v>3</v>
      </c>
      <c r="J1" s="1" t="s">
        <v>4</v>
      </c>
      <c r="K1" s="1" t="s">
        <v>5</v>
      </c>
      <c r="L1" s="1" t="s">
        <v>6</v>
      </c>
      <c r="M1" s="1" t="s">
        <v>7</v>
      </c>
      <c r="N1" s="1" t="s">
        <v>13</v>
      </c>
      <c r="O1" s="8" t="s">
        <v>39</v>
      </c>
    </row>
    <row r="2" spans="1:15" x14ac:dyDescent="0.3">
      <c r="A2" s="1">
        <v>1453</v>
      </c>
      <c r="B2" s="1" t="s">
        <v>8</v>
      </c>
      <c r="C2" s="2">
        <v>45504</v>
      </c>
      <c r="D2" s="2" t="str">
        <f>TEXT(C2,"MMM")</f>
        <v>Jul</v>
      </c>
      <c r="E2" s="2" t="str">
        <f>TEXT(C2,"YYY")</f>
        <v>2024</v>
      </c>
      <c r="F2" s="1">
        <v>183</v>
      </c>
      <c r="G2" s="1">
        <v>64</v>
      </c>
      <c r="H2" s="1">
        <v>18</v>
      </c>
      <c r="I2" s="1">
        <v>6</v>
      </c>
      <c r="J2" s="1">
        <v>23.3</v>
      </c>
      <c r="K2" s="1">
        <v>0.67200000000000004</v>
      </c>
      <c r="L2" s="1">
        <v>32</v>
      </c>
      <c r="M2" s="1">
        <v>1</v>
      </c>
      <c r="N2" s="1" t="s">
        <v>45</v>
      </c>
      <c r="O2" s="1" t="str">
        <f>IF(L2&lt;=35,"Young",IF(L2&lt;=50,"Middle-Aged",IF(L2&lt;=65,"Old","Very Old")))</f>
        <v>Young</v>
      </c>
    </row>
    <row r="3" spans="1:15" x14ac:dyDescent="0.3">
      <c r="A3" s="1">
        <v>1405</v>
      </c>
      <c r="B3" s="1" t="s">
        <v>9</v>
      </c>
      <c r="C3" s="2">
        <v>45115</v>
      </c>
      <c r="D3" s="2" t="str">
        <f t="shared" ref="D3:D66" si="0">TEXT(C3,"MMM")</f>
        <v>Jul</v>
      </c>
      <c r="E3" s="2" t="str">
        <f t="shared" ref="E3:E66" si="1">TEXT(C3,"YYY")</f>
        <v>2023</v>
      </c>
      <c r="F3" s="1">
        <v>89</v>
      </c>
      <c r="G3" s="1">
        <v>66</v>
      </c>
      <c r="H3" s="1">
        <v>23</v>
      </c>
      <c r="I3" s="1">
        <v>94</v>
      </c>
      <c r="J3" s="1">
        <v>28.1</v>
      </c>
      <c r="K3" s="1">
        <v>0.16700000000000001</v>
      </c>
      <c r="L3" s="1">
        <v>21</v>
      </c>
      <c r="M3" s="1">
        <v>0</v>
      </c>
      <c r="N3" s="1" t="s">
        <v>46</v>
      </c>
      <c r="O3" s="1" t="str">
        <f t="shared" ref="O3:O66" si="2">IF(L3&lt;=35,"Young",IF(L3&lt;=50,"Middle-Aged",IF(L3&lt;=65,"Old","Very Old")))</f>
        <v>Young</v>
      </c>
    </row>
    <row r="4" spans="1:15" x14ac:dyDescent="0.3">
      <c r="A4" s="1">
        <v>8737</v>
      </c>
      <c r="B4" s="1" t="s">
        <v>8</v>
      </c>
      <c r="C4" s="2">
        <v>44281</v>
      </c>
      <c r="D4" s="2" t="str">
        <f t="shared" si="0"/>
        <v>Mar</v>
      </c>
      <c r="E4" s="2" t="str">
        <f t="shared" si="1"/>
        <v>2021</v>
      </c>
      <c r="F4" s="1">
        <v>137</v>
      </c>
      <c r="G4" s="1">
        <v>40</v>
      </c>
      <c r="H4" s="1">
        <v>35</v>
      </c>
      <c r="I4" s="1">
        <v>168</v>
      </c>
      <c r="J4" s="1">
        <v>43.1</v>
      </c>
      <c r="K4" s="1">
        <v>2.2879999999999998</v>
      </c>
      <c r="L4" s="1">
        <v>33</v>
      </c>
      <c r="M4" s="1">
        <v>1</v>
      </c>
      <c r="N4" s="1" t="s">
        <v>45</v>
      </c>
      <c r="O4" s="1" t="str">
        <f t="shared" si="2"/>
        <v>Young</v>
      </c>
    </row>
    <row r="5" spans="1:15" x14ac:dyDescent="0.3">
      <c r="A5" s="1">
        <v>2081</v>
      </c>
      <c r="B5" s="1" t="s">
        <v>9</v>
      </c>
      <c r="C5" s="2">
        <v>44445</v>
      </c>
      <c r="D5" s="2" t="str">
        <f t="shared" si="0"/>
        <v>Sep</v>
      </c>
      <c r="E5" s="2" t="str">
        <f t="shared" si="1"/>
        <v>2021</v>
      </c>
      <c r="F5" s="1">
        <v>116</v>
      </c>
      <c r="G5" s="1">
        <v>74</v>
      </c>
      <c r="H5" s="1">
        <v>18</v>
      </c>
      <c r="I5" s="1">
        <v>6</v>
      </c>
      <c r="J5" s="1">
        <v>25.6</v>
      </c>
      <c r="K5" s="1">
        <v>0.20100000000000001</v>
      </c>
      <c r="L5" s="1">
        <v>30</v>
      </c>
      <c r="M5" s="1">
        <v>0</v>
      </c>
      <c r="N5" s="1" t="s">
        <v>46</v>
      </c>
      <c r="O5" s="1" t="str">
        <f t="shared" si="2"/>
        <v>Young</v>
      </c>
    </row>
    <row r="6" spans="1:15" x14ac:dyDescent="0.3">
      <c r="A6" s="1">
        <v>2108</v>
      </c>
      <c r="B6" s="1" t="s">
        <v>9</v>
      </c>
      <c r="C6" s="2">
        <v>44980</v>
      </c>
      <c r="D6" s="2" t="str">
        <f t="shared" si="0"/>
        <v>Feb</v>
      </c>
      <c r="E6" s="2" t="str">
        <f t="shared" si="1"/>
        <v>2023</v>
      </c>
      <c r="F6" s="1">
        <v>78</v>
      </c>
      <c r="G6" s="1">
        <v>50</v>
      </c>
      <c r="H6" s="1">
        <v>32</v>
      </c>
      <c r="I6" s="1">
        <v>88</v>
      </c>
      <c r="J6" s="1">
        <v>31</v>
      </c>
      <c r="K6" s="1">
        <v>0.248</v>
      </c>
      <c r="L6" s="1">
        <v>26</v>
      </c>
      <c r="M6" s="1">
        <v>1</v>
      </c>
      <c r="N6" s="1" t="s">
        <v>45</v>
      </c>
      <c r="O6" s="1" t="str">
        <f t="shared" si="2"/>
        <v>Young</v>
      </c>
    </row>
    <row r="7" spans="1:15" x14ac:dyDescent="0.3">
      <c r="A7" s="1">
        <v>7435</v>
      </c>
      <c r="B7" s="1" t="s">
        <v>8</v>
      </c>
      <c r="C7" s="2">
        <v>44753</v>
      </c>
      <c r="D7" s="2" t="str">
        <f t="shared" si="0"/>
        <v>Jul</v>
      </c>
      <c r="E7" s="2" t="str">
        <f t="shared" si="1"/>
        <v>2022</v>
      </c>
      <c r="F7" s="1">
        <v>197</v>
      </c>
      <c r="G7" s="1">
        <v>70</v>
      </c>
      <c r="H7" s="1">
        <v>45</v>
      </c>
      <c r="I7" s="1">
        <v>543</v>
      </c>
      <c r="J7" s="1">
        <v>30.5</v>
      </c>
      <c r="K7" s="1">
        <v>0.158</v>
      </c>
      <c r="L7" s="1">
        <v>53</v>
      </c>
      <c r="M7" s="1">
        <v>1</v>
      </c>
      <c r="N7" s="1" t="s">
        <v>45</v>
      </c>
      <c r="O7" s="1" t="str">
        <f t="shared" si="2"/>
        <v>Old</v>
      </c>
    </row>
    <row r="8" spans="1:15" x14ac:dyDescent="0.3">
      <c r="A8" s="1">
        <v>5661</v>
      </c>
      <c r="B8" s="1" t="s">
        <v>8</v>
      </c>
      <c r="C8" s="2">
        <v>45241</v>
      </c>
      <c r="D8" s="2" t="str">
        <f t="shared" si="0"/>
        <v>Nov</v>
      </c>
      <c r="E8" s="2" t="str">
        <f t="shared" si="1"/>
        <v>2023</v>
      </c>
      <c r="F8" s="1">
        <v>110</v>
      </c>
      <c r="G8" s="1">
        <v>92</v>
      </c>
      <c r="H8" s="1">
        <v>18</v>
      </c>
      <c r="I8" s="1">
        <v>6</v>
      </c>
      <c r="J8" s="1">
        <v>37.6</v>
      </c>
      <c r="K8" s="1">
        <v>0.191</v>
      </c>
      <c r="L8" s="1">
        <v>30</v>
      </c>
      <c r="M8" s="1">
        <v>0</v>
      </c>
      <c r="N8" s="1" t="s">
        <v>46</v>
      </c>
      <c r="O8" s="1" t="str">
        <f t="shared" si="2"/>
        <v>Young</v>
      </c>
    </row>
    <row r="9" spans="1:15" x14ac:dyDescent="0.3">
      <c r="A9" s="1">
        <v>9378</v>
      </c>
      <c r="B9" s="1" t="s">
        <v>8</v>
      </c>
      <c r="C9" s="2">
        <v>45094</v>
      </c>
      <c r="D9" s="2" t="str">
        <f t="shared" si="0"/>
        <v>Jun</v>
      </c>
      <c r="E9" s="2" t="str">
        <f t="shared" si="1"/>
        <v>2023</v>
      </c>
      <c r="F9" s="1">
        <v>168</v>
      </c>
      <c r="G9" s="1">
        <v>74</v>
      </c>
      <c r="H9" s="1">
        <v>18</v>
      </c>
      <c r="I9" s="1">
        <v>6</v>
      </c>
      <c r="J9" s="1">
        <v>38</v>
      </c>
      <c r="K9" s="1">
        <v>0.53700000000000003</v>
      </c>
      <c r="L9" s="1">
        <v>34</v>
      </c>
      <c r="M9" s="1">
        <v>1</v>
      </c>
      <c r="N9" s="1" t="s">
        <v>45</v>
      </c>
      <c r="O9" s="1" t="str">
        <f t="shared" si="2"/>
        <v>Young</v>
      </c>
    </row>
    <row r="10" spans="1:15" x14ac:dyDescent="0.3">
      <c r="A10" s="1">
        <v>2911</v>
      </c>
      <c r="B10" s="1" t="s">
        <v>8</v>
      </c>
      <c r="C10" s="2">
        <v>44565</v>
      </c>
      <c r="D10" s="2" t="str">
        <f t="shared" si="0"/>
        <v>Jan</v>
      </c>
      <c r="E10" s="2" t="str">
        <f t="shared" si="1"/>
        <v>2022</v>
      </c>
      <c r="F10" s="1">
        <v>139</v>
      </c>
      <c r="G10" s="1">
        <v>80</v>
      </c>
      <c r="H10" s="1">
        <v>18</v>
      </c>
      <c r="I10" s="1">
        <v>6</v>
      </c>
      <c r="J10" s="1">
        <v>27.1</v>
      </c>
      <c r="K10" s="1">
        <v>1.4410000000000001</v>
      </c>
      <c r="L10" s="1">
        <v>57</v>
      </c>
      <c r="M10" s="1">
        <v>0</v>
      </c>
      <c r="N10" s="1" t="s">
        <v>46</v>
      </c>
      <c r="O10" s="1" t="str">
        <f t="shared" si="2"/>
        <v>Old</v>
      </c>
    </row>
    <row r="11" spans="1:15" x14ac:dyDescent="0.3">
      <c r="A11" s="1">
        <v>9508</v>
      </c>
      <c r="B11" s="1" t="s">
        <v>9</v>
      </c>
      <c r="C11" s="2">
        <v>45567</v>
      </c>
      <c r="D11" s="2" t="str">
        <f t="shared" si="0"/>
        <v>Oct</v>
      </c>
      <c r="E11" s="2" t="str">
        <f t="shared" si="1"/>
        <v>2024</v>
      </c>
      <c r="F11" s="1">
        <v>189</v>
      </c>
      <c r="G11" s="1">
        <v>60</v>
      </c>
      <c r="H11" s="1">
        <v>23</v>
      </c>
      <c r="I11" s="1">
        <v>846</v>
      </c>
      <c r="J11" s="1">
        <v>30.1</v>
      </c>
      <c r="K11" s="1">
        <v>0.39800000000000002</v>
      </c>
      <c r="L11" s="1">
        <v>59</v>
      </c>
      <c r="M11" s="1">
        <v>1</v>
      </c>
      <c r="N11" s="1" t="s">
        <v>45</v>
      </c>
      <c r="O11" s="1" t="str">
        <f t="shared" si="2"/>
        <v>Old</v>
      </c>
    </row>
    <row r="12" spans="1:15" x14ac:dyDescent="0.3">
      <c r="A12" s="1">
        <v>4817</v>
      </c>
      <c r="B12" s="1" t="s">
        <v>9</v>
      </c>
      <c r="C12" s="2">
        <v>45445</v>
      </c>
      <c r="D12" s="2" t="str">
        <f t="shared" si="0"/>
        <v>Jun</v>
      </c>
      <c r="E12" s="2" t="str">
        <f t="shared" si="1"/>
        <v>2024</v>
      </c>
      <c r="F12" s="1">
        <v>166</v>
      </c>
      <c r="G12" s="1">
        <v>72</v>
      </c>
      <c r="H12" s="1">
        <v>19</v>
      </c>
      <c r="I12" s="1">
        <v>175</v>
      </c>
      <c r="J12" s="1">
        <v>25.8</v>
      </c>
      <c r="K12" s="1">
        <v>0.58699999999999997</v>
      </c>
      <c r="L12" s="1">
        <v>51</v>
      </c>
      <c r="M12" s="1">
        <v>1</v>
      </c>
      <c r="N12" s="1" t="s">
        <v>45</v>
      </c>
      <c r="O12" s="1" t="str">
        <f t="shared" si="2"/>
        <v>Old</v>
      </c>
    </row>
    <row r="13" spans="1:15" x14ac:dyDescent="0.3">
      <c r="A13" s="1">
        <v>2126</v>
      </c>
      <c r="B13" s="1" t="s">
        <v>8</v>
      </c>
      <c r="C13" s="2">
        <v>45354</v>
      </c>
      <c r="D13" s="2" t="str">
        <f t="shared" si="0"/>
        <v>Mar</v>
      </c>
      <c r="E13" s="2" t="str">
        <f t="shared" si="1"/>
        <v>2024</v>
      </c>
      <c r="F13" s="1">
        <v>118</v>
      </c>
      <c r="G13" s="1">
        <v>84</v>
      </c>
      <c r="H13" s="1">
        <v>47</v>
      </c>
      <c r="I13" s="1">
        <v>230</v>
      </c>
      <c r="J13" s="1">
        <v>45.8</v>
      </c>
      <c r="K13" s="1">
        <v>0.55100000000000005</v>
      </c>
      <c r="L13" s="1">
        <v>31</v>
      </c>
      <c r="M13" s="1">
        <v>1</v>
      </c>
      <c r="N13" s="1" t="s">
        <v>45</v>
      </c>
      <c r="O13" s="1" t="str">
        <f t="shared" si="2"/>
        <v>Young</v>
      </c>
    </row>
    <row r="14" spans="1:15" x14ac:dyDescent="0.3">
      <c r="A14" s="1">
        <v>7174</v>
      </c>
      <c r="B14" s="1" t="s">
        <v>9</v>
      </c>
      <c r="C14" s="2">
        <v>45465</v>
      </c>
      <c r="D14" s="2" t="str">
        <f t="shared" si="0"/>
        <v>Jun</v>
      </c>
      <c r="E14" s="2" t="str">
        <f t="shared" si="1"/>
        <v>2024</v>
      </c>
      <c r="F14" s="1">
        <v>107</v>
      </c>
      <c r="G14" s="1">
        <v>74</v>
      </c>
      <c r="H14" s="1">
        <v>18</v>
      </c>
      <c r="I14" s="1">
        <v>6</v>
      </c>
      <c r="J14" s="1">
        <v>29.6</v>
      </c>
      <c r="K14" s="1">
        <v>0.254</v>
      </c>
      <c r="L14" s="1">
        <v>31</v>
      </c>
      <c r="M14" s="1">
        <v>1</v>
      </c>
      <c r="N14" s="1" t="s">
        <v>45</v>
      </c>
      <c r="O14" s="1" t="str">
        <f t="shared" si="2"/>
        <v>Young</v>
      </c>
    </row>
    <row r="15" spans="1:15" x14ac:dyDescent="0.3">
      <c r="A15" s="1">
        <v>7303</v>
      </c>
      <c r="B15" s="1" t="s">
        <v>9</v>
      </c>
      <c r="C15" s="2">
        <v>44667</v>
      </c>
      <c r="D15" s="2" t="str">
        <f t="shared" si="0"/>
        <v>Apr</v>
      </c>
      <c r="E15" s="2" t="str">
        <f t="shared" si="1"/>
        <v>2022</v>
      </c>
      <c r="F15" s="1">
        <v>103</v>
      </c>
      <c r="G15" s="1">
        <v>30</v>
      </c>
      <c r="H15" s="1">
        <v>38</v>
      </c>
      <c r="I15" s="1">
        <v>83</v>
      </c>
      <c r="J15" s="1">
        <v>43.3</v>
      </c>
      <c r="K15" s="1">
        <v>0.183</v>
      </c>
      <c r="L15" s="1">
        <v>33</v>
      </c>
      <c r="M15" s="1">
        <v>0</v>
      </c>
      <c r="N15" s="1" t="s">
        <v>46</v>
      </c>
      <c r="O15" s="1" t="str">
        <f t="shared" si="2"/>
        <v>Young</v>
      </c>
    </row>
    <row r="16" spans="1:15" x14ac:dyDescent="0.3">
      <c r="A16" s="1">
        <v>8766</v>
      </c>
      <c r="B16" s="1" t="s">
        <v>9</v>
      </c>
      <c r="C16" s="2">
        <v>44668</v>
      </c>
      <c r="D16" s="2" t="str">
        <f t="shared" si="0"/>
        <v>Apr</v>
      </c>
      <c r="E16" s="2" t="str">
        <f t="shared" si="1"/>
        <v>2022</v>
      </c>
      <c r="F16" s="1">
        <v>115</v>
      </c>
      <c r="G16" s="1">
        <v>70</v>
      </c>
      <c r="H16" s="1">
        <v>30</v>
      </c>
      <c r="I16" s="1">
        <v>96</v>
      </c>
      <c r="J16" s="1">
        <v>34.6</v>
      </c>
      <c r="K16" s="1">
        <v>0.52900000000000003</v>
      </c>
      <c r="L16" s="1">
        <v>32</v>
      </c>
      <c r="M16" s="1">
        <v>1</v>
      </c>
      <c r="N16" s="1" t="s">
        <v>45</v>
      </c>
      <c r="O16" s="1" t="str">
        <f t="shared" si="2"/>
        <v>Young</v>
      </c>
    </row>
    <row r="17" spans="1:15" x14ac:dyDescent="0.3">
      <c r="A17" s="1">
        <v>4153</v>
      </c>
      <c r="B17" s="1" t="s">
        <v>9</v>
      </c>
      <c r="C17" s="2">
        <v>44461</v>
      </c>
      <c r="D17" s="2" t="str">
        <f t="shared" si="0"/>
        <v>Sep</v>
      </c>
      <c r="E17" s="2" t="str">
        <f t="shared" si="1"/>
        <v>2021</v>
      </c>
      <c r="F17" s="1">
        <v>126</v>
      </c>
      <c r="G17" s="1">
        <v>88</v>
      </c>
      <c r="H17" s="1">
        <v>41</v>
      </c>
      <c r="I17" s="1">
        <v>235</v>
      </c>
      <c r="J17" s="1">
        <v>39.299999999999997</v>
      </c>
      <c r="K17" s="1">
        <v>0.70399999999999996</v>
      </c>
      <c r="L17" s="1">
        <v>27</v>
      </c>
      <c r="M17" s="1">
        <v>0</v>
      </c>
      <c r="N17" s="1" t="s">
        <v>46</v>
      </c>
      <c r="O17" s="1" t="str">
        <f t="shared" si="2"/>
        <v>Young</v>
      </c>
    </row>
    <row r="18" spans="1:15" x14ac:dyDescent="0.3">
      <c r="A18" s="1">
        <v>9575</v>
      </c>
      <c r="B18" s="1" t="s">
        <v>8</v>
      </c>
      <c r="C18" s="2">
        <v>44363</v>
      </c>
      <c r="D18" s="2" t="str">
        <f t="shared" si="0"/>
        <v>Jun</v>
      </c>
      <c r="E18" s="2" t="str">
        <f t="shared" si="1"/>
        <v>2021</v>
      </c>
      <c r="F18" s="1">
        <v>99</v>
      </c>
      <c r="G18" s="1">
        <v>84</v>
      </c>
      <c r="H18" s="1">
        <v>18</v>
      </c>
      <c r="I18" s="1">
        <v>6</v>
      </c>
      <c r="J18" s="1">
        <v>35.4</v>
      </c>
      <c r="K18" s="1">
        <v>0.38800000000000001</v>
      </c>
      <c r="L18" s="1">
        <v>50</v>
      </c>
      <c r="M18" s="1">
        <v>0</v>
      </c>
      <c r="N18" s="1" t="s">
        <v>46</v>
      </c>
      <c r="O18" s="1" t="str">
        <f t="shared" si="2"/>
        <v>Middle-Aged</v>
      </c>
    </row>
    <row r="19" spans="1:15" x14ac:dyDescent="0.3">
      <c r="A19" s="1">
        <v>2602</v>
      </c>
      <c r="B19" s="1" t="s">
        <v>9</v>
      </c>
      <c r="C19" s="2">
        <v>45158</v>
      </c>
      <c r="D19" s="2" t="str">
        <f t="shared" si="0"/>
        <v>Aug</v>
      </c>
      <c r="E19" s="2" t="str">
        <f t="shared" si="1"/>
        <v>2023</v>
      </c>
      <c r="F19" s="1">
        <v>196</v>
      </c>
      <c r="G19" s="1">
        <v>90</v>
      </c>
      <c r="H19" s="1">
        <v>18</v>
      </c>
      <c r="I19" s="1">
        <v>6</v>
      </c>
      <c r="J19" s="1">
        <v>39.799999999999997</v>
      </c>
      <c r="K19" s="1">
        <v>0.45100000000000001</v>
      </c>
      <c r="L19" s="1">
        <v>41</v>
      </c>
      <c r="M19" s="1">
        <v>1</v>
      </c>
      <c r="N19" s="1" t="s">
        <v>45</v>
      </c>
      <c r="O19" s="1" t="str">
        <f t="shared" si="2"/>
        <v>Middle-Aged</v>
      </c>
    </row>
    <row r="20" spans="1:15" x14ac:dyDescent="0.3">
      <c r="A20" s="1">
        <v>5260</v>
      </c>
      <c r="B20" s="1" t="s">
        <v>9</v>
      </c>
      <c r="C20" s="2">
        <v>44286</v>
      </c>
      <c r="D20" s="2" t="str">
        <f t="shared" si="0"/>
        <v>Mar</v>
      </c>
      <c r="E20" s="2" t="str">
        <f t="shared" si="1"/>
        <v>2021</v>
      </c>
      <c r="F20" s="1">
        <v>143</v>
      </c>
      <c r="G20" s="1">
        <v>94</v>
      </c>
      <c r="H20" s="1">
        <v>33</v>
      </c>
      <c r="I20" s="1">
        <v>146</v>
      </c>
      <c r="J20" s="1">
        <v>36.6</v>
      </c>
      <c r="K20" s="1">
        <v>0.254</v>
      </c>
      <c r="L20" s="1">
        <v>51</v>
      </c>
      <c r="M20" s="1">
        <v>1</v>
      </c>
      <c r="N20" s="1" t="s">
        <v>45</v>
      </c>
      <c r="O20" s="1" t="str">
        <f t="shared" si="2"/>
        <v>Old</v>
      </c>
    </row>
    <row r="21" spans="1:15" x14ac:dyDescent="0.3">
      <c r="A21" s="1">
        <v>2439</v>
      </c>
      <c r="B21" s="1" t="s">
        <v>8</v>
      </c>
      <c r="C21" s="2">
        <v>45536</v>
      </c>
      <c r="D21" s="2" t="str">
        <f t="shared" si="0"/>
        <v>Sep</v>
      </c>
      <c r="E21" s="2" t="str">
        <f t="shared" si="1"/>
        <v>2024</v>
      </c>
      <c r="F21" s="1">
        <v>125</v>
      </c>
      <c r="G21" s="1">
        <v>70</v>
      </c>
      <c r="H21" s="1">
        <v>26</v>
      </c>
      <c r="I21" s="1">
        <v>115</v>
      </c>
      <c r="J21" s="1">
        <v>31.1</v>
      </c>
      <c r="K21" s="1">
        <v>0.20499999999999999</v>
      </c>
      <c r="L21" s="1">
        <v>41</v>
      </c>
      <c r="M21" s="1">
        <v>1</v>
      </c>
      <c r="N21" s="1" t="s">
        <v>45</v>
      </c>
      <c r="O21" s="1" t="str">
        <f t="shared" si="2"/>
        <v>Middle-Aged</v>
      </c>
    </row>
    <row r="22" spans="1:15" x14ac:dyDescent="0.3">
      <c r="A22" s="1">
        <v>7432</v>
      </c>
      <c r="B22" s="1" t="s">
        <v>9</v>
      </c>
      <c r="C22" s="2">
        <v>45300</v>
      </c>
      <c r="D22" s="2" t="str">
        <f t="shared" si="0"/>
        <v>Jan</v>
      </c>
      <c r="E22" s="2" t="str">
        <f t="shared" si="1"/>
        <v>2024</v>
      </c>
      <c r="F22" s="1">
        <v>147</v>
      </c>
      <c r="G22" s="1">
        <v>76</v>
      </c>
      <c r="H22" s="1">
        <v>18</v>
      </c>
      <c r="I22" s="1">
        <v>6</v>
      </c>
      <c r="J22" s="1">
        <v>39.4</v>
      </c>
      <c r="K22" s="1">
        <v>0.25700000000000001</v>
      </c>
      <c r="L22" s="1">
        <v>43</v>
      </c>
      <c r="M22" s="1">
        <v>1</v>
      </c>
      <c r="N22" s="1" t="s">
        <v>45</v>
      </c>
      <c r="O22" s="1" t="str">
        <f t="shared" si="2"/>
        <v>Middle-Aged</v>
      </c>
    </row>
    <row r="23" spans="1:15" x14ac:dyDescent="0.3">
      <c r="A23" s="1">
        <v>5944</v>
      </c>
      <c r="B23" s="1" t="s">
        <v>9</v>
      </c>
      <c r="C23" s="2">
        <v>45543</v>
      </c>
      <c r="D23" s="2" t="str">
        <f t="shared" si="0"/>
        <v>Sep</v>
      </c>
      <c r="E23" s="2" t="str">
        <f t="shared" si="1"/>
        <v>2024</v>
      </c>
      <c r="F23" s="1">
        <v>97</v>
      </c>
      <c r="G23" s="1">
        <v>66</v>
      </c>
      <c r="H23" s="1">
        <v>15</v>
      </c>
      <c r="I23" s="1">
        <v>140</v>
      </c>
      <c r="J23" s="1">
        <v>23.2</v>
      </c>
      <c r="K23" s="1">
        <v>0.48699999999999999</v>
      </c>
      <c r="L23" s="1">
        <v>22</v>
      </c>
      <c r="M23" s="1">
        <v>0</v>
      </c>
      <c r="N23" s="1" t="s">
        <v>46</v>
      </c>
      <c r="O23" s="1" t="str">
        <f t="shared" si="2"/>
        <v>Young</v>
      </c>
    </row>
    <row r="24" spans="1:15" x14ac:dyDescent="0.3">
      <c r="A24" s="1">
        <v>6505</v>
      </c>
      <c r="B24" s="1" t="s">
        <v>9</v>
      </c>
      <c r="C24" s="2">
        <v>44283</v>
      </c>
      <c r="D24" s="2" t="str">
        <f t="shared" si="0"/>
        <v>Mar</v>
      </c>
      <c r="E24" s="2" t="str">
        <f t="shared" si="1"/>
        <v>2021</v>
      </c>
      <c r="F24" s="1">
        <v>145</v>
      </c>
      <c r="G24" s="1">
        <v>82</v>
      </c>
      <c r="H24" s="1">
        <v>19</v>
      </c>
      <c r="I24" s="1">
        <v>110</v>
      </c>
      <c r="J24" s="1">
        <v>22.2</v>
      </c>
      <c r="K24" s="1">
        <v>0.245</v>
      </c>
      <c r="L24" s="1">
        <v>57</v>
      </c>
      <c r="M24" s="1">
        <v>0</v>
      </c>
      <c r="N24" s="1" t="s">
        <v>46</v>
      </c>
      <c r="O24" s="1" t="str">
        <f t="shared" si="2"/>
        <v>Old</v>
      </c>
    </row>
    <row r="25" spans="1:15" x14ac:dyDescent="0.3">
      <c r="A25" s="1">
        <v>9259</v>
      </c>
      <c r="B25" s="1" t="s">
        <v>9</v>
      </c>
      <c r="C25" s="2">
        <v>44250</v>
      </c>
      <c r="D25" s="2" t="str">
        <f t="shared" si="0"/>
        <v>Feb</v>
      </c>
      <c r="E25" s="2" t="str">
        <f t="shared" si="1"/>
        <v>2021</v>
      </c>
      <c r="F25" s="1">
        <v>117</v>
      </c>
      <c r="G25" s="1">
        <v>92</v>
      </c>
      <c r="H25" s="1">
        <v>18</v>
      </c>
      <c r="I25" s="1">
        <v>6</v>
      </c>
      <c r="J25" s="1">
        <v>34.1</v>
      </c>
      <c r="K25" s="1">
        <v>0.33700000000000002</v>
      </c>
      <c r="L25" s="1">
        <v>38</v>
      </c>
      <c r="M25" s="1">
        <v>0</v>
      </c>
      <c r="N25" s="1" t="s">
        <v>46</v>
      </c>
      <c r="O25" s="1" t="str">
        <f t="shared" si="2"/>
        <v>Middle-Aged</v>
      </c>
    </row>
    <row r="26" spans="1:15" x14ac:dyDescent="0.3">
      <c r="A26" s="1">
        <v>7145</v>
      </c>
      <c r="B26" s="1" t="s">
        <v>9</v>
      </c>
      <c r="C26" s="2">
        <v>44832</v>
      </c>
      <c r="D26" s="2" t="str">
        <f t="shared" si="0"/>
        <v>Sep</v>
      </c>
      <c r="E26" s="2" t="str">
        <f t="shared" si="1"/>
        <v>2022</v>
      </c>
      <c r="F26" s="1">
        <v>158</v>
      </c>
      <c r="G26" s="1">
        <v>76</v>
      </c>
      <c r="H26" s="1">
        <v>36</v>
      </c>
      <c r="I26" s="1">
        <v>245</v>
      </c>
      <c r="J26" s="1">
        <v>31.6</v>
      </c>
      <c r="K26" s="1">
        <v>0.85099999999999998</v>
      </c>
      <c r="L26" s="1">
        <v>28</v>
      </c>
      <c r="M26" s="1">
        <v>1</v>
      </c>
      <c r="N26" s="1" t="s">
        <v>45</v>
      </c>
      <c r="O26" s="1" t="str">
        <f t="shared" si="2"/>
        <v>Young</v>
      </c>
    </row>
    <row r="27" spans="1:15" x14ac:dyDescent="0.3">
      <c r="A27" s="1">
        <v>8231</v>
      </c>
      <c r="B27" s="1" t="s">
        <v>9</v>
      </c>
      <c r="C27" s="2">
        <v>44373</v>
      </c>
      <c r="D27" s="2" t="str">
        <f t="shared" si="0"/>
        <v>Jun</v>
      </c>
      <c r="E27" s="2" t="str">
        <f t="shared" si="1"/>
        <v>2021</v>
      </c>
      <c r="F27" s="1">
        <v>88</v>
      </c>
      <c r="G27" s="1">
        <v>58</v>
      </c>
      <c r="H27" s="1">
        <v>11</v>
      </c>
      <c r="I27" s="1">
        <v>54</v>
      </c>
      <c r="J27" s="1">
        <v>24.8</v>
      </c>
      <c r="K27" s="1">
        <v>0.26700000000000002</v>
      </c>
      <c r="L27" s="1">
        <v>22</v>
      </c>
      <c r="M27" s="1">
        <v>0</v>
      </c>
      <c r="N27" s="1" t="s">
        <v>46</v>
      </c>
      <c r="O27" s="1" t="str">
        <f t="shared" si="2"/>
        <v>Young</v>
      </c>
    </row>
    <row r="28" spans="1:15" x14ac:dyDescent="0.3">
      <c r="A28" s="1">
        <v>5156</v>
      </c>
      <c r="B28" s="1" t="s">
        <v>8</v>
      </c>
      <c r="C28" s="2">
        <v>44722</v>
      </c>
      <c r="D28" s="2" t="str">
        <f t="shared" si="0"/>
        <v>Jun</v>
      </c>
      <c r="E28" s="2" t="str">
        <f t="shared" si="1"/>
        <v>2022</v>
      </c>
      <c r="F28" s="1">
        <v>92</v>
      </c>
      <c r="G28" s="1">
        <v>92</v>
      </c>
      <c r="H28" s="1">
        <v>18</v>
      </c>
      <c r="I28" s="1">
        <v>6</v>
      </c>
      <c r="J28" s="1">
        <v>19.899999999999999</v>
      </c>
      <c r="K28" s="1">
        <v>0.188</v>
      </c>
      <c r="L28" s="1">
        <v>28</v>
      </c>
      <c r="M28" s="1">
        <v>0</v>
      </c>
      <c r="N28" s="1" t="s">
        <v>46</v>
      </c>
      <c r="O28" s="1" t="str">
        <f t="shared" si="2"/>
        <v>Young</v>
      </c>
    </row>
    <row r="29" spans="1:15" x14ac:dyDescent="0.3">
      <c r="A29" s="1">
        <v>2491</v>
      </c>
      <c r="B29" s="1" t="s">
        <v>8</v>
      </c>
      <c r="C29" s="2">
        <v>44278</v>
      </c>
      <c r="D29" s="2" t="str">
        <f t="shared" si="0"/>
        <v>Mar</v>
      </c>
      <c r="E29" s="2" t="str">
        <f t="shared" si="1"/>
        <v>2021</v>
      </c>
      <c r="F29" s="1">
        <v>103</v>
      </c>
      <c r="G29" s="1">
        <v>60</v>
      </c>
      <c r="H29" s="1">
        <v>33</v>
      </c>
      <c r="I29" s="1">
        <v>192</v>
      </c>
      <c r="J29" s="1">
        <v>24</v>
      </c>
      <c r="K29" s="1">
        <v>0.96599999999999997</v>
      </c>
      <c r="L29" s="1">
        <v>33</v>
      </c>
      <c r="M29" s="1">
        <v>0</v>
      </c>
      <c r="N29" s="1" t="s">
        <v>46</v>
      </c>
      <c r="O29" s="1" t="str">
        <f t="shared" si="2"/>
        <v>Young</v>
      </c>
    </row>
    <row r="30" spans="1:15" x14ac:dyDescent="0.3">
      <c r="A30" s="1">
        <v>5386</v>
      </c>
      <c r="B30" s="1" t="s">
        <v>9</v>
      </c>
      <c r="C30" s="2">
        <v>45520</v>
      </c>
      <c r="D30" s="2" t="str">
        <f t="shared" si="0"/>
        <v>Aug</v>
      </c>
      <c r="E30" s="2" t="str">
        <f t="shared" si="1"/>
        <v>2024</v>
      </c>
      <c r="F30" s="1">
        <v>138</v>
      </c>
      <c r="G30" s="1">
        <v>76</v>
      </c>
      <c r="H30" s="1">
        <v>18</v>
      </c>
      <c r="I30" s="1">
        <v>6</v>
      </c>
      <c r="J30" s="1">
        <v>33.200000000000003</v>
      </c>
      <c r="K30" s="1">
        <v>0.42</v>
      </c>
      <c r="L30" s="1">
        <v>35</v>
      </c>
      <c r="M30" s="1">
        <v>0</v>
      </c>
      <c r="N30" s="1" t="s">
        <v>46</v>
      </c>
      <c r="O30" s="1" t="str">
        <f t="shared" si="2"/>
        <v>Young</v>
      </c>
    </row>
    <row r="31" spans="1:15" x14ac:dyDescent="0.3">
      <c r="A31" s="1">
        <v>5232</v>
      </c>
      <c r="B31" s="1" t="s">
        <v>8</v>
      </c>
      <c r="C31" s="2">
        <v>44281</v>
      </c>
      <c r="D31" s="2" t="str">
        <f t="shared" si="0"/>
        <v>Mar</v>
      </c>
      <c r="E31" s="2" t="str">
        <f t="shared" si="1"/>
        <v>2021</v>
      </c>
      <c r="F31" s="1">
        <v>111</v>
      </c>
      <c r="G31" s="1">
        <v>72</v>
      </c>
      <c r="H31" s="1">
        <v>47</v>
      </c>
      <c r="I31" s="1">
        <v>207</v>
      </c>
      <c r="J31" s="1">
        <v>37.1</v>
      </c>
      <c r="K31" s="1">
        <v>1.39</v>
      </c>
      <c r="L31" s="1">
        <v>56</v>
      </c>
      <c r="M31" s="1">
        <v>1</v>
      </c>
      <c r="N31" s="1" t="s">
        <v>45</v>
      </c>
      <c r="O31" s="1" t="str">
        <f t="shared" si="2"/>
        <v>Old</v>
      </c>
    </row>
    <row r="32" spans="1:15" x14ac:dyDescent="0.3">
      <c r="A32" s="1">
        <v>7836</v>
      </c>
      <c r="B32" s="1" t="s">
        <v>9</v>
      </c>
      <c r="C32" s="2">
        <v>45642</v>
      </c>
      <c r="D32" s="2" t="str">
        <f t="shared" si="0"/>
        <v>Dec</v>
      </c>
      <c r="E32" s="2" t="str">
        <f t="shared" si="1"/>
        <v>2024</v>
      </c>
      <c r="F32" s="1">
        <v>180</v>
      </c>
      <c r="G32" s="1">
        <v>64</v>
      </c>
      <c r="H32" s="1">
        <v>25</v>
      </c>
      <c r="I32" s="1">
        <v>70</v>
      </c>
      <c r="J32" s="1">
        <v>34</v>
      </c>
      <c r="K32" s="1">
        <v>0.27100000000000002</v>
      </c>
      <c r="L32" s="1">
        <v>26</v>
      </c>
      <c r="M32" s="1">
        <v>0</v>
      </c>
      <c r="N32" s="1" t="s">
        <v>46</v>
      </c>
      <c r="O32" s="1" t="str">
        <f t="shared" si="2"/>
        <v>Young</v>
      </c>
    </row>
    <row r="33" spans="1:15" x14ac:dyDescent="0.3">
      <c r="A33" s="1">
        <v>7752</v>
      </c>
      <c r="B33" s="1" t="s">
        <v>9</v>
      </c>
      <c r="C33" s="2">
        <v>44331</v>
      </c>
      <c r="D33" s="2" t="str">
        <f t="shared" si="0"/>
        <v>May</v>
      </c>
      <c r="E33" s="2" t="str">
        <f t="shared" si="1"/>
        <v>2021</v>
      </c>
      <c r="F33" s="1">
        <v>133</v>
      </c>
      <c r="G33" s="1">
        <v>84</v>
      </c>
      <c r="H33" s="1">
        <v>18</v>
      </c>
      <c r="I33" s="1">
        <v>6</v>
      </c>
      <c r="J33" s="1">
        <v>40.200000000000003</v>
      </c>
      <c r="K33" s="1">
        <v>0.69599999999999995</v>
      </c>
      <c r="L33" s="1">
        <v>37</v>
      </c>
      <c r="M33" s="1">
        <v>0</v>
      </c>
      <c r="N33" s="1" t="s">
        <v>46</v>
      </c>
      <c r="O33" s="1" t="str">
        <f t="shared" si="2"/>
        <v>Middle-Aged</v>
      </c>
    </row>
    <row r="34" spans="1:15" x14ac:dyDescent="0.3">
      <c r="A34" s="1">
        <v>1426</v>
      </c>
      <c r="B34" s="1" t="s">
        <v>9</v>
      </c>
      <c r="C34" s="2">
        <v>45357</v>
      </c>
      <c r="D34" s="2" t="str">
        <f t="shared" si="0"/>
        <v>Mar</v>
      </c>
      <c r="E34" s="2" t="str">
        <f t="shared" si="1"/>
        <v>2024</v>
      </c>
      <c r="F34" s="1">
        <v>171</v>
      </c>
      <c r="G34" s="1">
        <v>110</v>
      </c>
      <c r="H34" s="1">
        <v>24</v>
      </c>
      <c r="I34" s="1">
        <v>240</v>
      </c>
      <c r="J34" s="1">
        <v>45.4</v>
      </c>
      <c r="K34" s="1">
        <v>0.72099999999999997</v>
      </c>
      <c r="L34" s="1">
        <v>54</v>
      </c>
      <c r="M34" s="1">
        <v>1</v>
      </c>
      <c r="N34" s="1" t="s">
        <v>45</v>
      </c>
      <c r="O34" s="1" t="str">
        <f t="shared" si="2"/>
        <v>Old</v>
      </c>
    </row>
    <row r="35" spans="1:15" x14ac:dyDescent="0.3">
      <c r="A35" s="1">
        <v>2864</v>
      </c>
      <c r="B35" s="1" t="s">
        <v>9</v>
      </c>
      <c r="C35" s="2">
        <v>44749</v>
      </c>
      <c r="D35" s="2" t="str">
        <f t="shared" si="0"/>
        <v>Jul</v>
      </c>
      <c r="E35" s="2" t="str">
        <f t="shared" si="1"/>
        <v>2022</v>
      </c>
      <c r="F35" s="1">
        <v>159</v>
      </c>
      <c r="G35" s="1">
        <v>64</v>
      </c>
      <c r="H35" s="1">
        <v>18</v>
      </c>
      <c r="I35" s="1">
        <v>6</v>
      </c>
      <c r="J35" s="1">
        <v>27.4</v>
      </c>
      <c r="K35" s="1">
        <v>0.29399999999999998</v>
      </c>
      <c r="L35" s="1">
        <v>40</v>
      </c>
      <c r="M35" s="1">
        <v>0</v>
      </c>
      <c r="N35" s="1" t="s">
        <v>46</v>
      </c>
      <c r="O35" s="1" t="str">
        <f t="shared" si="2"/>
        <v>Middle-Aged</v>
      </c>
    </row>
    <row r="36" spans="1:15" x14ac:dyDescent="0.3">
      <c r="A36" s="1">
        <v>1042</v>
      </c>
      <c r="B36" s="1" t="s">
        <v>9</v>
      </c>
      <c r="C36" s="2">
        <v>45099</v>
      </c>
      <c r="D36" s="2" t="str">
        <f t="shared" si="0"/>
        <v>Jun</v>
      </c>
      <c r="E36" s="2" t="str">
        <f t="shared" si="1"/>
        <v>2023</v>
      </c>
      <c r="F36" s="1">
        <v>146</v>
      </c>
      <c r="G36" s="1">
        <v>56</v>
      </c>
      <c r="H36" s="1">
        <v>18</v>
      </c>
      <c r="I36" s="1">
        <v>6</v>
      </c>
      <c r="J36" s="1">
        <v>29.7</v>
      </c>
      <c r="K36" s="1">
        <v>0.56399999999999995</v>
      </c>
      <c r="L36" s="1">
        <v>29</v>
      </c>
      <c r="M36" s="1">
        <v>0</v>
      </c>
      <c r="N36" s="1" t="s">
        <v>46</v>
      </c>
      <c r="O36" s="1" t="str">
        <f t="shared" si="2"/>
        <v>Young</v>
      </c>
    </row>
    <row r="37" spans="1:15" x14ac:dyDescent="0.3">
      <c r="A37" s="1">
        <v>1380</v>
      </c>
      <c r="B37" s="1" t="s">
        <v>9</v>
      </c>
      <c r="C37" s="2">
        <v>44949</v>
      </c>
      <c r="D37" s="2" t="str">
        <f t="shared" si="0"/>
        <v>Jan</v>
      </c>
      <c r="E37" s="2" t="str">
        <f t="shared" si="1"/>
        <v>2023</v>
      </c>
      <c r="F37" s="1">
        <v>103</v>
      </c>
      <c r="G37" s="1">
        <v>80</v>
      </c>
      <c r="H37" s="1">
        <v>11</v>
      </c>
      <c r="I37" s="1">
        <v>82</v>
      </c>
      <c r="J37" s="1">
        <v>19.399999999999999</v>
      </c>
      <c r="K37" s="1">
        <v>0.49099999999999999</v>
      </c>
      <c r="L37" s="1">
        <v>22</v>
      </c>
      <c r="M37" s="1">
        <v>0</v>
      </c>
      <c r="N37" s="1" t="s">
        <v>46</v>
      </c>
      <c r="O37" s="1" t="str">
        <f t="shared" si="2"/>
        <v>Young</v>
      </c>
    </row>
    <row r="38" spans="1:15" x14ac:dyDescent="0.3">
      <c r="A38" s="1">
        <v>9208</v>
      </c>
      <c r="B38" s="1" t="s">
        <v>9</v>
      </c>
      <c r="C38" s="2">
        <v>44768</v>
      </c>
      <c r="D38" s="2" t="str">
        <f t="shared" si="0"/>
        <v>Jul</v>
      </c>
      <c r="E38" s="2" t="str">
        <f t="shared" si="1"/>
        <v>2022</v>
      </c>
      <c r="F38" s="1">
        <v>101</v>
      </c>
      <c r="G38" s="1">
        <v>50</v>
      </c>
      <c r="H38" s="1">
        <v>15</v>
      </c>
      <c r="I38" s="1">
        <v>36</v>
      </c>
      <c r="J38" s="1">
        <v>24.2</v>
      </c>
      <c r="K38" s="1">
        <v>0.52600000000000002</v>
      </c>
      <c r="L38" s="1">
        <v>26</v>
      </c>
      <c r="M38" s="1">
        <v>0</v>
      </c>
      <c r="N38" s="1" t="s">
        <v>46</v>
      </c>
      <c r="O38" s="1" t="str">
        <f t="shared" si="2"/>
        <v>Young</v>
      </c>
    </row>
    <row r="39" spans="1:15" x14ac:dyDescent="0.3">
      <c r="A39" s="1">
        <v>1901</v>
      </c>
      <c r="B39" s="1" t="s">
        <v>9</v>
      </c>
      <c r="C39" s="2">
        <v>44533</v>
      </c>
      <c r="D39" s="2" t="str">
        <f t="shared" si="0"/>
        <v>Dec</v>
      </c>
      <c r="E39" s="2" t="str">
        <f t="shared" si="1"/>
        <v>2021</v>
      </c>
      <c r="F39" s="1">
        <v>88</v>
      </c>
      <c r="G39" s="1">
        <v>66</v>
      </c>
      <c r="H39" s="1">
        <v>21</v>
      </c>
      <c r="I39" s="1">
        <v>23</v>
      </c>
      <c r="J39" s="1">
        <v>24.4</v>
      </c>
      <c r="K39" s="1">
        <v>0.34200000000000003</v>
      </c>
      <c r="L39" s="1">
        <v>30</v>
      </c>
      <c r="M39" s="1">
        <v>0</v>
      </c>
      <c r="N39" s="1" t="s">
        <v>46</v>
      </c>
      <c r="O39" s="1" t="str">
        <f t="shared" si="2"/>
        <v>Young</v>
      </c>
    </row>
    <row r="40" spans="1:15" x14ac:dyDescent="0.3">
      <c r="A40" s="1">
        <v>7413</v>
      </c>
      <c r="B40" s="1" t="s">
        <v>8</v>
      </c>
      <c r="C40" s="2">
        <v>44826</v>
      </c>
      <c r="D40" s="2" t="str">
        <f t="shared" si="0"/>
        <v>Sep</v>
      </c>
      <c r="E40" s="2" t="str">
        <f t="shared" si="1"/>
        <v>2022</v>
      </c>
      <c r="F40" s="1">
        <v>176</v>
      </c>
      <c r="G40" s="1">
        <v>90</v>
      </c>
      <c r="H40" s="1">
        <v>34</v>
      </c>
      <c r="I40" s="1">
        <v>300</v>
      </c>
      <c r="J40" s="1">
        <v>33.700000000000003</v>
      </c>
      <c r="K40" s="1">
        <v>0.46700000000000003</v>
      </c>
      <c r="L40" s="1">
        <v>58</v>
      </c>
      <c r="M40" s="1">
        <v>1</v>
      </c>
      <c r="N40" s="1" t="s">
        <v>45</v>
      </c>
      <c r="O40" s="1" t="str">
        <f t="shared" si="2"/>
        <v>Old</v>
      </c>
    </row>
    <row r="41" spans="1:15" x14ac:dyDescent="0.3">
      <c r="A41" s="1">
        <v>7939</v>
      </c>
      <c r="B41" s="1" t="s">
        <v>9</v>
      </c>
      <c r="C41" s="2">
        <v>45193</v>
      </c>
      <c r="D41" s="2" t="str">
        <f t="shared" si="0"/>
        <v>Sep</v>
      </c>
      <c r="E41" s="2" t="str">
        <f t="shared" si="1"/>
        <v>2023</v>
      </c>
      <c r="F41" s="1">
        <v>150</v>
      </c>
      <c r="G41" s="1">
        <v>66</v>
      </c>
      <c r="H41" s="1">
        <v>42</v>
      </c>
      <c r="I41" s="1">
        <v>342</v>
      </c>
      <c r="J41" s="1">
        <v>34.700000000000003</v>
      </c>
      <c r="K41" s="1">
        <v>0.71799999999999997</v>
      </c>
      <c r="L41" s="1">
        <v>42</v>
      </c>
      <c r="M41" s="1">
        <v>0</v>
      </c>
      <c r="N41" s="1" t="s">
        <v>46</v>
      </c>
      <c r="O41" s="1" t="str">
        <f t="shared" si="2"/>
        <v>Middle-Aged</v>
      </c>
    </row>
    <row r="42" spans="1:15" x14ac:dyDescent="0.3">
      <c r="A42" s="1">
        <v>1667</v>
      </c>
      <c r="B42" s="1" t="s">
        <v>9</v>
      </c>
      <c r="C42" s="2">
        <v>44661</v>
      </c>
      <c r="D42" s="2" t="str">
        <f t="shared" si="0"/>
        <v>Apr</v>
      </c>
      <c r="E42" s="2" t="str">
        <f t="shared" si="1"/>
        <v>2022</v>
      </c>
      <c r="F42" s="1">
        <v>187</v>
      </c>
      <c r="G42" s="1">
        <v>68</v>
      </c>
      <c r="H42" s="1">
        <v>39</v>
      </c>
      <c r="I42" s="1">
        <v>304</v>
      </c>
      <c r="J42" s="1">
        <v>37.700000000000003</v>
      </c>
      <c r="K42" s="1">
        <v>0.254</v>
      </c>
      <c r="L42" s="1">
        <v>41</v>
      </c>
      <c r="M42" s="1">
        <v>1</v>
      </c>
      <c r="N42" s="1" t="s">
        <v>45</v>
      </c>
      <c r="O42" s="1" t="str">
        <f t="shared" si="2"/>
        <v>Middle-Aged</v>
      </c>
    </row>
    <row r="43" spans="1:15" x14ac:dyDescent="0.3">
      <c r="A43" s="1">
        <v>1610</v>
      </c>
      <c r="B43" s="1" t="s">
        <v>8</v>
      </c>
      <c r="C43" s="2">
        <v>45160</v>
      </c>
      <c r="D43" s="2" t="str">
        <f t="shared" si="0"/>
        <v>Aug</v>
      </c>
      <c r="E43" s="2" t="str">
        <f t="shared" si="1"/>
        <v>2023</v>
      </c>
      <c r="F43" s="1">
        <v>100</v>
      </c>
      <c r="G43" s="1">
        <v>88</v>
      </c>
      <c r="H43" s="1">
        <v>60</v>
      </c>
      <c r="I43" s="1">
        <v>110</v>
      </c>
      <c r="J43" s="1">
        <v>46.8</v>
      </c>
      <c r="K43" s="1">
        <v>0.96199999999999997</v>
      </c>
      <c r="L43" s="1">
        <v>31</v>
      </c>
      <c r="M43" s="1">
        <v>0</v>
      </c>
      <c r="N43" s="1" t="s">
        <v>46</v>
      </c>
      <c r="O43" s="1" t="str">
        <f t="shared" si="2"/>
        <v>Young</v>
      </c>
    </row>
    <row r="44" spans="1:15" x14ac:dyDescent="0.3">
      <c r="A44" s="1">
        <v>9269</v>
      </c>
      <c r="B44" s="1" t="s">
        <v>8</v>
      </c>
      <c r="C44" s="2">
        <v>44897</v>
      </c>
      <c r="D44" s="2" t="str">
        <f t="shared" si="0"/>
        <v>Dec</v>
      </c>
      <c r="E44" s="2" t="str">
        <f t="shared" si="1"/>
        <v>2022</v>
      </c>
      <c r="F44" s="1">
        <v>146</v>
      </c>
      <c r="G44" s="1">
        <v>82</v>
      </c>
      <c r="H44" s="1">
        <v>15</v>
      </c>
      <c r="I44" s="1">
        <v>6</v>
      </c>
      <c r="J44" s="1">
        <v>40.5</v>
      </c>
      <c r="K44" s="1">
        <v>1.7809999999999999</v>
      </c>
      <c r="L44" s="1">
        <v>44</v>
      </c>
      <c r="M44" s="1">
        <v>0</v>
      </c>
      <c r="N44" s="1" t="s">
        <v>46</v>
      </c>
      <c r="O44" s="1" t="str">
        <f t="shared" si="2"/>
        <v>Middle-Aged</v>
      </c>
    </row>
    <row r="45" spans="1:15" x14ac:dyDescent="0.3">
      <c r="A45" s="1">
        <v>3993</v>
      </c>
      <c r="B45" s="1" t="s">
        <v>8</v>
      </c>
      <c r="C45" s="2">
        <v>44633</v>
      </c>
      <c r="D45" s="2" t="str">
        <f t="shared" si="0"/>
        <v>Mar</v>
      </c>
      <c r="E45" s="2" t="str">
        <f t="shared" si="1"/>
        <v>2022</v>
      </c>
      <c r="F45" s="1">
        <v>105</v>
      </c>
      <c r="G45" s="1">
        <v>64</v>
      </c>
      <c r="H45" s="1">
        <v>41</v>
      </c>
      <c r="I45" s="1">
        <v>142</v>
      </c>
      <c r="J45" s="1">
        <v>41.5</v>
      </c>
      <c r="K45" s="1">
        <v>0.17299999999999999</v>
      </c>
      <c r="L45" s="1">
        <v>22</v>
      </c>
      <c r="M45" s="1">
        <v>0</v>
      </c>
      <c r="N45" s="1" t="s">
        <v>46</v>
      </c>
      <c r="O45" s="1" t="str">
        <f t="shared" si="2"/>
        <v>Young</v>
      </c>
    </row>
    <row r="46" spans="1:15" x14ac:dyDescent="0.3">
      <c r="A46" s="1">
        <v>5190</v>
      </c>
      <c r="B46" s="1" t="s">
        <v>8</v>
      </c>
      <c r="C46" s="2">
        <v>44287</v>
      </c>
      <c r="D46" s="2" t="str">
        <f t="shared" si="0"/>
        <v>Apr</v>
      </c>
      <c r="E46" s="2" t="str">
        <f t="shared" si="1"/>
        <v>2021</v>
      </c>
      <c r="F46" s="1">
        <v>133</v>
      </c>
      <c r="G46" s="1">
        <v>72</v>
      </c>
      <c r="H46" s="1">
        <v>15</v>
      </c>
      <c r="I46" s="1">
        <v>16</v>
      </c>
      <c r="J46" s="1">
        <v>32.9</v>
      </c>
      <c r="K46" s="1">
        <v>0.27</v>
      </c>
      <c r="L46" s="1">
        <v>39</v>
      </c>
      <c r="M46" s="1">
        <v>1</v>
      </c>
      <c r="N46" s="1" t="s">
        <v>45</v>
      </c>
      <c r="O46" s="1" t="str">
        <f t="shared" si="2"/>
        <v>Middle-Aged</v>
      </c>
    </row>
    <row r="47" spans="1:15" x14ac:dyDescent="0.3">
      <c r="A47" s="1">
        <v>4304</v>
      </c>
      <c r="B47" s="1" t="s">
        <v>9</v>
      </c>
      <c r="C47" s="2">
        <v>44882</v>
      </c>
      <c r="D47" s="2" t="str">
        <f t="shared" si="0"/>
        <v>Nov</v>
      </c>
      <c r="E47" s="2" t="str">
        <f t="shared" si="1"/>
        <v>2022</v>
      </c>
      <c r="F47" s="1">
        <v>44</v>
      </c>
      <c r="G47" s="1">
        <v>62</v>
      </c>
      <c r="H47" s="1">
        <v>15</v>
      </c>
      <c r="I47" s="1">
        <v>16</v>
      </c>
      <c r="J47" s="1">
        <v>25</v>
      </c>
      <c r="K47" s="1">
        <v>0.58699999999999997</v>
      </c>
      <c r="L47" s="1">
        <v>36</v>
      </c>
      <c r="M47" s="1">
        <v>0</v>
      </c>
      <c r="N47" s="1" t="s">
        <v>46</v>
      </c>
      <c r="O47" s="1" t="str">
        <f t="shared" si="2"/>
        <v>Middle-Aged</v>
      </c>
    </row>
    <row r="48" spans="1:15" x14ac:dyDescent="0.3">
      <c r="A48" s="1">
        <v>9022</v>
      </c>
      <c r="B48" s="1" t="s">
        <v>8</v>
      </c>
      <c r="C48" s="2">
        <v>44315</v>
      </c>
      <c r="D48" s="2" t="str">
        <f t="shared" si="0"/>
        <v>Apr</v>
      </c>
      <c r="E48" s="2" t="str">
        <f t="shared" si="1"/>
        <v>2021</v>
      </c>
      <c r="F48" s="1">
        <v>141</v>
      </c>
      <c r="G48" s="1">
        <v>58</v>
      </c>
      <c r="H48" s="1">
        <v>34</v>
      </c>
      <c r="I48" s="1">
        <v>128</v>
      </c>
      <c r="J48" s="1">
        <v>25.4</v>
      </c>
      <c r="K48" s="1">
        <v>0.69899999999999995</v>
      </c>
      <c r="L48" s="1">
        <v>24</v>
      </c>
      <c r="M48" s="1">
        <v>0</v>
      </c>
      <c r="N48" s="1" t="s">
        <v>46</v>
      </c>
      <c r="O48" s="1" t="str">
        <f t="shared" si="2"/>
        <v>Young</v>
      </c>
    </row>
    <row r="49" spans="1:15" x14ac:dyDescent="0.3">
      <c r="A49" s="1">
        <v>1683</v>
      </c>
      <c r="B49" s="1" t="s">
        <v>9</v>
      </c>
      <c r="C49" s="2">
        <v>45634</v>
      </c>
      <c r="D49" s="2" t="str">
        <f t="shared" si="0"/>
        <v>Dec</v>
      </c>
      <c r="E49" s="2" t="str">
        <f t="shared" si="1"/>
        <v>2024</v>
      </c>
      <c r="F49" s="1">
        <v>114</v>
      </c>
      <c r="G49" s="1">
        <v>66</v>
      </c>
      <c r="H49" s="1">
        <v>15</v>
      </c>
      <c r="I49" s="1">
        <v>16</v>
      </c>
      <c r="J49" s="1">
        <v>32.799999999999997</v>
      </c>
      <c r="K49" s="1">
        <v>0.25800000000000001</v>
      </c>
      <c r="L49" s="1">
        <v>42</v>
      </c>
      <c r="M49" s="1">
        <v>1</v>
      </c>
      <c r="N49" s="1" t="s">
        <v>45</v>
      </c>
      <c r="O49" s="1" t="str">
        <f t="shared" si="2"/>
        <v>Middle-Aged</v>
      </c>
    </row>
    <row r="50" spans="1:15" x14ac:dyDescent="0.3">
      <c r="A50" s="1">
        <v>5748</v>
      </c>
      <c r="B50" s="1" t="s">
        <v>8</v>
      </c>
      <c r="C50" s="2">
        <v>44510</v>
      </c>
      <c r="D50" s="2" t="str">
        <f t="shared" si="0"/>
        <v>Nov</v>
      </c>
      <c r="E50" s="2" t="str">
        <f t="shared" si="1"/>
        <v>2021</v>
      </c>
      <c r="F50" s="1">
        <v>109</v>
      </c>
      <c r="G50" s="1">
        <v>92</v>
      </c>
      <c r="H50" s="1">
        <v>15</v>
      </c>
      <c r="I50" s="1">
        <v>16</v>
      </c>
      <c r="J50" s="1">
        <v>42.7</v>
      </c>
      <c r="K50" s="1">
        <v>0.84499999999999997</v>
      </c>
      <c r="L50" s="1">
        <v>54</v>
      </c>
      <c r="M50" s="1">
        <v>0</v>
      </c>
      <c r="N50" s="1" t="s">
        <v>46</v>
      </c>
      <c r="O50" s="1" t="str">
        <f t="shared" si="2"/>
        <v>Old</v>
      </c>
    </row>
    <row r="51" spans="1:15" x14ac:dyDescent="0.3">
      <c r="A51" s="1">
        <v>6220</v>
      </c>
      <c r="B51" s="1" t="s">
        <v>9</v>
      </c>
      <c r="C51" s="2">
        <v>45526</v>
      </c>
      <c r="D51" s="2" t="str">
        <f t="shared" si="0"/>
        <v>Aug</v>
      </c>
      <c r="E51" s="2" t="str">
        <f t="shared" si="1"/>
        <v>2024</v>
      </c>
      <c r="F51" s="1">
        <v>95</v>
      </c>
      <c r="G51" s="1">
        <v>66</v>
      </c>
      <c r="H51" s="1">
        <v>13</v>
      </c>
      <c r="I51" s="1">
        <v>38</v>
      </c>
      <c r="J51" s="1">
        <v>19.600000000000001</v>
      </c>
      <c r="K51" s="1">
        <v>0.33400000000000002</v>
      </c>
      <c r="L51" s="1">
        <v>25</v>
      </c>
      <c r="M51" s="1">
        <v>0</v>
      </c>
      <c r="N51" s="1" t="s">
        <v>46</v>
      </c>
      <c r="O51" s="1" t="str">
        <f t="shared" si="2"/>
        <v>Young</v>
      </c>
    </row>
    <row r="52" spans="1:15" x14ac:dyDescent="0.3">
      <c r="A52" s="1">
        <v>6277</v>
      </c>
      <c r="B52" s="1" t="s">
        <v>8</v>
      </c>
      <c r="C52" s="2">
        <v>45444</v>
      </c>
      <c r="D52" s="2" t="str">
        <f t="shared" si="0"/>
        <v>Jun</v>
      </c>
      <c r="E52" s="2" t="str">
        <f t="shared" si="1"/>
        <v>2024</v>
      </c>
      <c r="F52" s="1">
        <v>146</v>
      </c>
      <c r="G52" s="1">
        <v>85</v>
      </c>
      <c r="H52" s="1">
        <v>27</v>
      </c>
      <c r="I52" s="1">
        <v>100</v>
      </c>
      <c r="J52" s="1">
        <v>28.9</v>
      </c>
      <c r="K52" s="1">
        <v>0.189</v>
      </c>
      <c r="L52" s="1">
        <v>27</v>
      </c>
      <c r="M52" s="1">
        <v>0</v>
      </c>
      <c r="N52" s="1" t="s">
        <v>46</v>
      </c>
      <c r="O52" s="1" t="str">
        <f t="shared" si="2"/>
        <v>Young</v>
      </c>
    </row>
    <row r="53" spans="1:15" x14ac:dyDescent="0.3">
      <c r="A53" s="1">
        <v>7621</v>
      </c>
      <c r="B53" s="1" t="s">
        <v>8</v>
      </c>
      <c r="C53" s="2">
        <v>45095</v>
      </c>
      <c r="D53" s="2" t="str">
        <f t="shared" si="0"/>
        <v>Jun</v>
      </c>
      <c r="E53" s="2" t="str">
        <f t="shared" si="1"/>
        <v>2023</v>
      </c>
      <c r="F53" s="1">
        <v>100</v>
      </c>
      <c r="G53" s="1">
        <v>66</v>
      </c>
      <c r="H53" s="1">
        <v>20</v>
      </c>
      <c r="I53" s="1">
        <v>90</v>
      </c>
      <c r="J53" s="1">
        <v>32.9</v>
      </c>
      <c r="K53" s="1">
        <v>0.86699999999999999</v>
      </c>
      <c r="L53" s="1">
        <v>28</v>
      </c>
      <c r="M53" s="1">
        <v>1</v>
      </c>
      <c r="N53" s="1" t="s">
        <v>45</v>
      </c>
      <c r="O53" s="1" t="str">
        <f t="shared" si="2"/>
        <v>Young</v>
      </c>
    </row>
    <row r="54" spans="1:15" x14ac:dyDescent="0.3">
      <c r="A54" s="1">
        <v>3860</v>
      </c>
      <c r="B54" s="1" t="s">
        <v>9</v>
      </c>
      <c r="C54" s="2">
        <v>45350</v>
      </c>
      <c r="D54" s="2" t="str">
        <f t="shared" si="0"/>
        <v>Feb</v>
      </c>
      <c r="E54" s="2" t="str">
        <f t="shared" si="1"/>
        <v>2024</v>
      </c>
      <c r="F54" s="1">
        <v>139</v>
      </c>
      <c r="G54" s="1">
        <v>64</v>
      </c>
      <c r="H54" s="1">
        <v>35</v>
      </c>
      <c r="I54" s="1">
        <v>140</v>
      </c>
      <c r="J54" s="1">
        <v>28.6</v>
      </c>
      <c r="K54" s="1">
        <v>0.41099999999999998</v>
      </c>
      <c r="L54" s="1">
        <v>26</v>
      </c>
      <c r="M54" s="1">
        <v>0</v>
      </c>
      <c r="N54" s="1" t="s">
        <v>46</v>
      </c>
      <c r="O54" s="1" t="str">
        <f t="shared" si="2"/>
        <v>Young</v>
      </c>
    </row>
    <row r="55" spans="1:15" x14ac:dyDescent="0.3">
      <c r="A55" s="1">
        <v>3128</v>
      </c>
      <c r="B55" s="1" t="s">
        <v>9</v>
      </c>
      <c r="C55" s="2">
        <v>44976</v>
      </c>
      <c r="D55" s="2" t="str">
        <f t="shared" si="0"/>
        <v>Feb</v>
      </c>
      <c r="E55" s="2" t="str">
        <f t="shared" si="1"/>
        <v>2023</v>
      </c>
      <c r="F55" s="1">
        <v>126</v>
      </c>
      <c r="G55" s="1">
        <v>90</v>
      </c>
      <c r="H55" s="1">
        <v>15</v>
      </c>
      <c r="I55" s="1">
        <v>16</v>
      </c>
      <c r="J55" s="1">
        <v>43.4</v>
      </c>
      <c r="K55" s="1">
        <v>0.58299999999999996</v>
      </c>
      <c r="L55" s="1">
        <v>42</v>
      </c>
      <c r="M55" s="1">
        <v>1</v>
      </c>
      <c r="N55" s="1" t="s">
        <v>45</v>
      </c>
      <c r="O55" s="1" t="str">
        <f t="shared" si="2"/>
        <v>Middle-Aged</v>
      </c>
    </row>
    <row r="56" spans="1:15" x14ac:dyDescent="0.3">
      <c r="A56" s="1">
        <v>3368</v>
      </c>
      <c r="B56" s="1" t="s">
        <v>8</v>
      </c>
      <c r="C56" s="2">
        <v>44611</v>
      </c>
      <c r="D56" s="2" t="str">
        <f t="shared" si="0"/>
        <v>Feb</v>
      </c>
      <c r="E56" s="2" t="str">
        <f t="shared" si="1"/>
        <v>2022</v>
      </c>
      <c r="F56" s="1">
        <v>129</v>
      </c>
      <c r="G56" s="1">
        <v>86</v>
      </c>
      <c r="H56" s="1">
        <v>20</v>
      </c>
      <c r="I56" s="1">
        <v>270</v>
      </c>
      <c r="J56" s="1">
        <v>35.1</v>
      </c>
      <c r="K56" s="1">
        <v>0.23100000000000001</v>
      </c>
      <c r="L56" s="1">
        <v>23</v>
      </c>
      <c r="M56" s="1">
        <v>0</v>
      </c>
      <c r="N56" s="1" t="s">
        <v>46</v>
      </c>
      <c r="O56" s="1" t="str">
        <f t="shared" si="2"/>
        <v>Young</v>
      </c>
    </row>
    <row r="57" spans="1:15" x14ac:dyDescent="0.3">
      <c r="A57" s="1">
        <v>9897</v>
      </c>
      <c r="B57" s="1" t="s">
        <v>9</v>
      </c>
      <c r="C57" s="2">
        <v>45629</v>
      </c>
      <c r="D57" s="2" t="str">
        <f t="shared" si="0"/>
        <v>Dec</v>
      </c>
      <c r="E57" s="2" t="str">
        <f t="shared" si="1"/>
        <v>2024</v>
      </c>
      <c r="F57" s="1">
        <v>62</v>
      </c>
      <c r="G57" s="1">
        <v>78</v>
      </c>
      <c r="H57" s="1">
        <v>15</v>
      </c>
      <c r="I57" s="1">
        <v>16</v>
      </c>
      <c r="J57" s="1">
        <v>32.6</v>
      </c>
      <c r="K57" s="1">
        <v>0.39100000000000001</v>
      </c>
      <c r="L57" s="1">
        <v>41</v>
      </c>
      <c r="M57" s="1">
        <v>0</v>
      </c>
      <c r="N57" s="1" t="s">
        <v>46</v>
      </c>
      <c r="O57" s="1" t="str">
        <f t="shared" si="2"/>
        <v>Middle-Aged</v>
      </c>
    </row>
    <row r="58" spans="1:15" x14ac:dyDescent="0.3">
      <c r="A58" s="1">
        <v>9827</v>
      </c>
      <c r="B58" s="1" t="s">
        <v>9</v>
      </c>
      <c r="C58" s="2">
        <v>44809</v>
      </c>
      <c r="D58" s="2" t="str">
        <f t="shared" si="0"/>
        <v>Sep</v>
      </c>
      <c r="E58" s="2" t="str">
        <f t="shared" si="1"/>
        <v>2022</v>
      </c>
      <c r="F58" s="1">
        <v>83</v>
      </c>
      <c r="G58" s="1">
        <v>78</v>
      </c>
      <c r="H58" s="1">
        <v>26</v>
      </c>
      <c r="I58" s="1">
        <v>71</v>
      </c>
      <c r="J58" s="1">
        <v>29.3</v>
      </c>
      <c r="K58" s="1">
        <v>0.76700000000000002</v>
      </c>
      <c r="L58" s="1">
        <v>36</v>
      </c>
      <c r="M58" s="1">
        <v>0</v>
      </c>
      <c r="N58" s="1" t="s">
        <v>46</v>
      </c>
      <c r="O58" s="1" t="str">
        <f t="shared" si="2"/>
        <v>Middle-Aged</v>
      </c>
    </row>
    <row r="59" spans="1:15" x14ac:dyDescent="0.3">
      <c r="A59" s="1">
        <v>8723</v>
      </c>
      <c r="B59" s="1" t="s">
        <v>9</v>
      </c>
      <c r="C59" s="2">
        <v>44668</v>
      </c>
      <c r="D59" s="2" t="str">
        <f t="shared" si="0"/>
        <v>Apr</v>
      </c>
      <c r="E59" s="2" t="str">
        <f t="shared" si="1"/>
        <v>2022</v>
      </c>
      <c r="F59" s="1">
        <v>137</v>
      </c>
      <c r="G59" s="1">
        <v>108</v>
      </c>
      <c r="H59" s="1">
        <v>25</v>
      </c>
      <c r="I59" s="1">
        <v>16</v>
      </c>
      <c r="J59" s="1">
        <v>48.8</v>
      </c>
      <c r="K59" s="1">
        <v>0.22700000000000001</v>
      </c>
      <c r="L59" s="1">
        <v>37</v>
      </c>
      <c r="M59" s="1">
        <v>1</v>
      </c>
      <c r="N59" s="1" t="s">
        <v>45</v>
      </c>
      <c r="O59" s="1" t="str">
        <f t="shared" si="2"/>
        <v>Middle-Aged</v>
      </c>
    </row>
    <row r="60" spans="1:15" x14ac:dyDescent="0.3">
      <c r="A60" s="1">
        <v>1845</v>
      </c>
      <c r="B60" s="1" t="s">
        <v>8</v>
      </c>
      <c r="C60" s="2">
        <v>44380</v>
      </c>
      <c r="D60" s="2" t="str">
        <f t="shared" si="0"/>
        <v>Jul</v>
      </c>
      <c r="E60" s="2" t="str">
        <f t="shared" si="1"/>
        <v>2021</v>
      </c>
      <c r="F60" s="1">
        <v>110</v>
      </c>
      <c r="G60" s="1">
        <v>74</v>
      </c>
      <c r="H60" s="1">
        <v>29</v>
      </c>
      <c r="I60" s="1">
        <v>125</v>
      </c>
      <c r="J60" s="1">
        <v>32.4</v>
      </c>
      <c r="K60" s="1">
        <v>0.69799999999999995</v>
      </c>
      <c r="L60" s="1">
        <v>27</v>
      </c>
      <c r="M60" s="1">
        <v>0</v>
      </c>
      <c r="N60" s="1" t="s">
        <v>46</v>
      </c>
      <c r="O60" s="1" t="str">
        <f t="shared" si="2"/>
        <v>Young</v>
      </c>
    </row>
    <row r="61" spans="1:15" x14ac:dyDescent="0.3">
      <c r="A61" s="1">
        <v>3919</v>
      </c>
      <c r="B61" s="1" t="s">
        <v>8</v>
      </c>
      <c r="C61" s="2">
        <v>44397</v>
      </c>
      <c r="D61" s="2" t="str">
        <f t="shared" si="0"/>
        <v>Jul</v>
      </c>
      <c r="E61" s="2" t="str">
        <f t="shared" si="1"/>
        <v>2021</v>
      </c>
      <c r="F61" s="1">
        <v>100</v>
      </c>
      <c r="G61" s="1">
        <v>68</v>
      </c>
      <c r="H61" s="1">
        <v>25</v>
      </c>
      <c r="I61" s="1">
        <v>71</v>
      </c>
      <c r="J61" s="1">
        <v>38.5</v>
      </c>
      <c r="K61" s="1">
        <v>0.32400000000000001</v>
      </c>
      <c r="L61" s="1">
        <v>26</v>
      </c>
      <c r="M61" s="1">
        <v>0</v>
      </c>
      <c r="N61" s="1" t="s">
        <v>46</v>
      </c>
      <c r="O61" s="1" t="str">
        <f t="shared" si="2"/>
        <v>Young</v>
      </c>
    </row>
    <row r="62" spans="1:15" x14ac:dyDescent="0.3">
      <c r="A62" s="1">
        <v>3824</v>
      </c>
      <c r="B62" s="1" t="s">
        <v>9</v>
      </c>
      <c r="C62" s="2">
        <v>45165</v>
      </c>
      <c r="D62" s="2" t="str">
        <f t="shared" si="0"/>
        <v>Aug</v>
      </c>
      <c r="E62" s="2" t="str">
        <f t="shared" si="1"/>
        <v>2023</v>
      </c>
      <c r="F62" s="1">
        <v>136</v>
      </c>
      <c r="G62" s="1">
        <v>70</v>
      </c>
      <c r="H62" s="1">
        <v>32</v>
      </c>
      <c r="I62" s="1">
        <v>110</v>
      </c>
      <c r="J62" s="1">
        <v>37.1</v>
      </c>
      <c r="K62" s="1">
        <v>0.153</v>
      </c>
      <c r="L62" s="1">
        <v>43</v>
      </c>
      <c r="M62" s="1">
        <v>1</v>
      </c>
      <c r="N62" s="1" t="s">
        <v>45</v>
      </c>
      <c r="O62" s="1" t="str">
        <f t="shared" si="2"/>
        <v>Middle-Aged</v>
      </c>
    </row>
    <row r="63" spans="1:15" x14ac:dyDescent="0.3">
      <c r="A63" s="1">
        <v>5450</v>
      </c>
      <c r="B63" s="1" t="s">
        <v>9</v>
      </c>
      <c r="C63" s="2">
        <v>45656</v>
      </c>
      <c r="D63" s="2" t="str">
        <f t="shared" si="0"/>
        <v>Dec</v>
      </c>
      <c r="E63" s="2" t="str">
        <f t="shared" si="1"/>
        <v>2024</v>
      </c>
      <c r="F63" s="1">
        <v>80</v>
      </c>
      <c r="G63" s="1">
        <v>55</v>
      </c>
      <c r="H63" s="1">
        <v>25</v>
      </c>
      <c r="I63" s="1">
        <v>16</v>
      </c>
      <c r="J63" s="1">
        <v>19.100000000000001</v>
      </c>
      <c r="K63" s="1">
        <v>0.25800000000000001</v>
      </c>
      <c r="L63" s="1">
        <v>21</v>
      </c>
      <c r="M63" s="1">
        <v>0</v>
      </c>
      <c r="N63" s="1" t="s">
        <v>46</v>
      </c>
      <c r="O63" s="1" t="str">
        <f t="shared" si="2"/>
        <v>Young</v>
      </c>
    </row>
    <row r="64" spans="1:15" x14ac:dyDescent="0.3">
      <c r="A64" s="1">
        <v>8199</v>
      </c>
      <c r="B64" s="1" t="s">
        <v>8</v>
      </c>
      <c r="C64" s="2">
        <v>45415</v>
      </c>
      <c r="D64" s="2" t="str">
        <f t="shared" si="0"/>
        <v>May</v>
      </c>
      <c r="E64" s="2" t="str">
        <f t="shared" si="1"/>
        <v>2024</v>
      </c>
      <c r="F64" s="1">
        <v>123</v>
      </c>
      <c r="G64" s="1">
        <v>80</v>
      </c>
      <c r="H64" s="1">
        <v>15</v>
      </c>
      <c r="I64" s="1">
        <v>176</v>
      </c>
      <c r="J64" s="1">
        <v>32</v>
      </c>
      <c r="K64" s="1">
        <v>0.443</v>
      </c>
      <c r="L64" s="1">
        <v>34</v>
      </c>
      <c r="M64" s="1">
        <v>0</v>
      </c>
      <c r="N64" s="1" t="s">
        <v>46</v>
      </c>
      <c r="O64" s="1" t="str">
        <f t="shared" si="2"/>
        <v>Young</v>
      </c>
    </row>
    <row r="65" spans="1:15" x14ac:dyDescent="0.3">
      <c r="A65" s="1">
        <v>5020</v>
      </c>
      <c r="B65" s="1" t="s">
        <v>9</v>
      </c>
      <c r="C65" s="2">
        <v>45251</v>
      </c>
      <c r="D65" s="2" t="str">
        <f t="shared" si="0"/>
        <v>Nov</v>
      </c>
      <c r="E65" s="2" t="str">
        <f t="shared" si="1"/>
        <v>2023</v>
      </c>
      <c r="F65" s="1">
        <v>81</v>
      </c>
      <c r="G65" s="1">
        <v>78</v>
      </c>
      <c r="H65" s="1">
        <v>40</v>
      </c>
      <c r="I65" s="1">
        <v>48</v>
      </c>
      <c r="J65" s="1">
        <v>46.7</v>
      </c>
      <c r="K65" s="1">
        <v>0.26100000000000001</v>
      </c>
      <c r="L65" s="1">
        <v>42</v>
      </c>
      <c r="M65" s="1">
        <v>0</v>
      </c>
      <c r="N65" s="1" t="s">
        <v>46</v>
      </c>
      <c r="O65" s="1" t="str">
        <f t="shared" si="2"/>
        <v>Middle-Aged</v>
      </c>
    </row>
    <row r="66" spans="1:15" x14ac:dyDescent="0.3">
      <c r="A66" s="1">
        <v>1259</v>
      </c>
      <c r="B66" s="1" t="s">
        <v>8</v>
      </c>
      <c r="C66" s="2">
        <v>44580</v>
      </c>
      <c r="D66" s="2" t="str">
        <f t="shared" si="0"/>
        <v>Jan</v>
      </c>
      <c r="E66" s="2" t="str">
        <f t="shared" si="1"/>
        <v>2022</v>
      </c>
      <c r="F66" s="1">
        <v>134</v>
      </c>
      <c r="G66" s="1">
        <v>72</v>
      </c>
      <c r="H66" s="1">
        <v>25</v>
      </c>
      <c r="I66" s="1">
        <v>16</v>
      </c>
      <c r="J66" s="1">
        <v>23.8</v>
      </c>
      <c r="K66" s="1">
        <v>0.27700000000000002</v>
      </c>
      <c r="L66" s="1">
        <v>60</v>
      </c>
      <c r="M66" s="1">
        <v>1</v>
      </c>
      <c r="N66" s="1" t="s">
        <v>45</v>
      </c>
      <c r="O66" s="1" t="str">
        <f t="shared" si="2"/>
        <v>Old</v>
      </c>
    </row>
    <row r="67" spans="1:15" x14ac:dyDescent="0.3">
      <c r="A67" s="1">
        <v>6015</v>
      </c>
      <c r="B67" s="1" t="s">
        <v>8</v>
      </c>
      <c r="C67" s="2">
        <v>44492</v>
      </c>
      <c r="D67" s="2" t="str">
        <f t="shared" ref="D67:D130" si="3">TEXT(C67,"MMM")</f>
        <v>Oct</v>
      </c>
      <c r="E67" s="2" t="str">
        <f t="shared" ref="E67:E130" si="4">TEXT(C67,"YYY")</f>
        <v>2021</v>
      </c>
      <c r="F67" s="1">
        <v>142</v>
      </c>
      <c r="G67" s="1">
        <v>82</v>
      </c>
      <c r="H67" s="1">
        <v>18</v>
      </c>
      <c r="I67" s="1">
        <v>64</v>
      </c>
      <c r="J67" s="1">
        <v>24.7</v>
      </c>
      <c r="K67" s="1">
        <v>0.76100000000000001</v>
      </c>
      <c r="L67" s="1">
        <v>21</v>
      </c>
      <c r="M67" s="1">
        <v>0</v>
      </c>
      <c r="N67" s="1" t="s">
        <v>46</v>
      </c>
      <c r="O67" s="1" t="str">
        <f t="shared" ref="O67:O130" si="5">IF(L67&lt;=35,"Young",IF(L67&lt;=50,"Middle-Aged",IF(L67&lt;=65,"Old","Very Old")))</f>
        <v>Young</v>
      </c>
    </row>
    <row r="68" spans="1:15" x14ac:dyDescent="0.3">
      <c r="A68" s="1">
        <v>8845</v>
      </c>
      <c r="B68" s="1" t="s">
        <v>8</v>
      </c>
      <c r="C68" s="2">
        <v>44259</v>
      </c>
      <c r="D68" s="2" t="str">
        <f t="shared" si="3"/>
        <v>Mar</v>
      </c>
      <c r="E68" s="2" t="str">
        <f t="shared" si="4"/>
        <v>2021</v>
      </c>
      <c r="F68" s="1">
        <v>144</v>
      </c>
      <c r="G68" s="1">
        <v>72</v>
      </c>
      <c r="H68" s="1">
        <v>27</v>
      </c>
      <c r="I68" s="1">
        <v>228</v>
      </c>
      <c r="J68" s="1">
        <v>33.9</v>
      </c>
      <c r="K68" s="1">
        <v>0.255</v>
      </c>
      <c r="L68" s="1">
        <v>40</v>
      </c>
      <c r="M68" s="1">
        <v>0</v>
      </c>
      <c r="N68" s="1" t="s">
        <v>46</v>
      </c>
      <c r="O68" s="1" t="str">
        <f t="shared" si="5"/>
        <v>Middle-Aged</v>
      </c>
    </row>
    <row r="69" spans="1:15" x14ac:dyDescent="0.3">
      <c r="A69" s="1">
        <v>2336</v>
      </c>
      <c r="B69" s="1" t="s">
        <v>9</v>
      </c>
      <c r="C69" s="2">
        <v>44726</v>
      </c>
      <c r="D69" s="2" t="str">
        <f t="shared" si="3"/>
        <v>Jun</v>
      </c>
      <c r="E69" s="2" t="str">
        <f t="shared" si="4"/>
        <v>2022</v>
      </c>
      <c r="F69" s="1">
        <v>71</v>
      </c>
      <c r="G69" s="1">
        <v>48</v>
      </c>
      <c r="H69" s="1">
        <v>18</v>
      </c>
      <c r="I69" s="1">
        <v>76</v>
      </c>
      <c r="J69" s="1">
        <v>20.399999999999999</v>
      </c>
      <c r="K69" s="1">
        <v>0.32300000000000001</v>
      </c>
      <c r="L69" s="1">
        <v>22</v>
      </c>
      <c r="M69" s="1">
        <v>0</v>
      </c>
      <c r="N69" s="1" t="s">
        <v>46</v>
      </c>
      <c r="O69" s="1" t="str">
        <f t="shared" si="5"/>
        <v>Young</v>
      </c>
    </row>
    <row r="70" spans="1:15" x14ac:dyDescent="0.3">
      <c r="A70" s="1">
        <v>1010</v>
      </c>
      <c r="B70" s="1" t="s">
        <v>8</v>
      </c>
      <c r="C70" s="2">
        <v>45567</v>
      </c>
      <c r="D70" s="2" t="str">
        <f t="shared" si="3"/>
        <v>Oct</v>
      </c>
      <c r="E70" s="2" t="str">
        <f t="shared" si="4"/>
        <v>2024</v>
      </c>
      <c r="F70" s="1">
        <v>93</v>
      </c>
      <c r="G70" s="1">
        <v>50</v>
      </c>
      <c r="H70" s="1">
        <v>30</v>
      </c>
      <c r="I70" s="1">
        <v>64</v>
      </c>
      <c r="J70" s="1">
        <v>28.7</v>
      </c>
      <c r="K70" s="1">
        <v>0.35599999999999998</v>
      </c>
      <c r="L70" s="1">
        <v>23</v>
      </c>
      <c r="M70" s="1">
        <v>0</v>
      </c>
      <c r="N70" s="1" t="s">
        <v>46</v>
      </c>
      <c r="O70" s="1" t="str">
        <f t="shared" si="5"/>
        <v>Young</v>
      </c>
    </row>
    <row r="71" spans="1:15" x14ac:dyDescent="0.3">
      <c r="A71" s="1">
        <v>1086</v>
      </c>
      <c r="B71" s="1" t="s">
        <v>9</v>
      </c>
      <c r="C71" s="2">
        <v>45278</v>
      </c>
      <c r="D71" s="2" t="str">
        <f t="shared" si="3"/>
        <v>Dec</v>
      </c>
      <c r="E71" s="2" t="str">
        <f t="shared" si="4"/>
        <v>2023</v>
      </c>
      <c r="F71" s="1">
        <v>122</v>
      </c>
      <c r="G71" s="1">
        <v>90</v>
      </c>
      <c r="H71" s="1">
        <v>51</v>
      </c>
      <c r="I71" s="1">
        <v>220</v>
      </c>
      <c r="J71" s="1">
        <v>49.7</v>
      </c>
      <c r="K71" s="1">
        <v>0.32500000000000001</v>
      </c>
      <c r="L71" s="1">
        <v>31</v>
      </c>
      <c r="M71" s="1">
        <v>1</v>
      </c>
      <c r="N71" s="1" t="s">
        <v>45</v>
      </c>
      <c r="O71" s="1" t="str">
        <f t="shared" si="5"/>
        <v>Young</v>
      </c>
    </row>
    <row r="72" spans="1:15" x14ac:dyDescent="0.3">
      <c r="A72" s="1">
        <v>2554</v>
      </c>
      <c r="B72" s="1" t="s">
        <v>9</v>
      </c>
      <c r="C72" s="2">
        <v>44627</v>
      </c>
      <c r="D72" s="2" t="str">
        <f t="shared" si="3"/>
        <v>Mar</v>
      </c>
      <c r="E72" s="2" t="str">
        <f t="shared" si="4"/>
        <v>2022</v>
      </c>
      <c r="F72" s="1">
        <v>163</v>
      </c>
      <c r="G72" s="1">
        <v>72</v>
      </c>
      <c r="H72" s="1">
        <v>25</v>
      </c>
      <c r="I72" s="1">
        <v>16</v>
      </c>
      <c r="J72" s="1">
        <v>39</v>
      </c>
      <c r="K72" s="1">
        <v>1.222</v>
      </c>
      <c r="L72" s="1">
        <v>33</v>
      </c>
      <c r="M72" s="1">
        <v>1</v>
      </c>
      <c r="N72" s="1" t="s">
        <v>45</v>
      </c>
      <c r="O72" s="1" t="str">
        <f t="shared" si="5"/>
        <v>Young</v>
      </c>
    </row>
    <row r="73" spans="1:15" x14ac:dyDescent="0.3">
      <c r="A73" s="1">
        <v>3810</v>
      </c>
      <c r="B73" s="1" t="s">
        <v>9</v>
      </c>
      <c r="C73" s="2">
        <v>44395</v>
      </c>
      <c r="D73" s="2" t="str">
        <f t="shared" si="3"/>
        <v>Jul</v>
      </c>
      <c r="E73" s="2" t="str">
        <f t="shared" si="4"/>
        <v>2021</v>
      </c>
      <c r="F73" s="1">
        <v>151</v>
      </c>
      <c r="G73" s="1">
        <v>60</v>
      </c>
      <c r="H73" s="1">
        <v>25</v>
      </c>
      <c r="I73" s="1">
        <v>16</v>
      </c>
      <c r="J73" s="1">
        <v>26.1</v>
      </c>
      <c r="K73" s="1">
        <v>0.17899999999999999</v>
      </c>
      <c r="L73" s="1">
        <v>22</v>
      </c>
      <c r="M73" s="1">
        <v>0</v>
      </c>
      <c r="N73" s="1" t="s">
        <v>46</v>
      </c>
      <c r="O73" s="1" t="str">
        <f t="shared" si="5"/>
        <v>Young</v>
      </c>
    </row>
    <row r="74" spans="1:15" x14ac:dyDescent="0.3">
      <c r="A74" s="1">
        <v>5285</v>
      </c>
      <c r="B74" s="1" t="s">
        <v>8</v>
      </c>
      <c r="C74" s="2">
        <v>45503</v>
      </c>
      <c r="D74" s="2" t="str">
        <f t="shared" si="3"/>
        <v>Jul</v>
      </c>
      <c r="E74" s="2" t="str">
        <f t="shared" si="4"/>
        <v>2024</v>
      </c>
      <c r="F74" s="1">
        <v>125</v>
      </c>
      <c r="G74" s="1">
        <v>96</v>
      </c>
      <c r="H74" s="1">
        <v>25</v>
      </c>
      <c r="I74" s="1">
        <v>16</v>
      </c>
      <c r="J74" s="1">
        <v>22.5</v>
      </c>
      <c r="K74" s="1">
        <v>0.26200000000000001</v>
      </c>
      <c r="L74" s="1">
        <v>21</v>
      </c>
      <c r="M74" s="1">
        <v>0</v>
      </c>
      <c r="N74" s="1" t="s">
        <v>46</v>
      </c>
      <c r="O74" s="1" t="str">
        <f t="shared" si="5"/>
        <v>Young</v>
      </c>
    </row>
    <row r="75" spans="1:15" x14ac:dyDescent="0.3">
      <c r="A75" s="1">
        <v>1604</v>
      </c>
      <c r="B75" s="1" t="s">
        <v>9</v>
      </c>
      <c r="C75" s="2">
        <v>44855</v>
      </c>
      <c r="D75" s="2" t="str">
        <f t="shared" si="3"/>
        <v>Oct</v>
      </c>
      <c r="E75" s="2" t="str">
        <f t="shared" si="4"/>
        <v>2022</v>
      </c>
      <c r="F75" s="1">
        <v>81</v>
      </c>
      <c r="G75" s="1">
        <v>72</v>
      </c>
      <c r="H75" s="1">
        <v>18</v>
      </c>
      <c r="I75" s="1">
        <v>40</v>
      </c>
      <c r="J75" s="1">
        <v>26.6</v>
      </c>
      <c r="K75" s="1">
        <v>0.28299999999999997</v>
      </c>
      <c r="L75" s="1">
        <v>24</v>
      </c>
      <c r="M75" s="1">
        <v>0</v>
      </c>
      <c r="N75" s="1" t="s">
        <v>46</v>
      </c>
      <c r="O75" s="1" t="str">
        <f t="shared" si="5"/>
        <v>Young</v>
      </c>
    </row>
    <row r="76" spans="1:15" x14ac:dyDescent="0.3">
      <c r="A76" s="1">
        <v>7883</v>
      </c>
      <c r="B76" s="1" t="s">
        <v>8</v>
      </c>
      <c r="C76" s="2">
        <v>44490</v>
      </c>
      <c r="D76" s="2" t="str">
        <f t="shared" si="3"/>
        <v>Oct</v>
      </c>
      <c r="E76" s="2" t="str">
        <f t="shared" si="4"/>
        <v>2021</v>
      </c>
      <c r="F76" s="1">
        <v>85</v>
      </c>
      <c r="G76" s="1">
        <v>65</v>
      </c>
      <c r="H76" s="1">
        <v>25</v>
      </c>
      <c r="I76" s="1">
        <v>16</v>
      </c>
      <c r="J76" s="1">
        <v>39.6</v>
      </c>
      <c r="K76" s="1">
        <v>0.93</v>
      </c>
      <c r="L76" s="1">
        <v>27</v>
      </c>
      <c r="M76" s="1">
        <v>0</v>
      </c>
      <c r="N76" s="1" t="s">
        <v>46</v>
      </c>
      <c r="O76" s="1" t="str">
        <f t="shared" si="5"/>
        <v>Young</v>
      </c>
    </row>
    <row r="77" spans="1:15" x14ac:dyDescent="0.3">
      <c r="A77" s="1">
        <v>7320</v>
      </c>
      <c r="B77" s="1" t="s">
        <v>9</v>
      </c>
      <c r="C77" s="2">
        <v>45077</v>
      </c>
      <c r="D77" s="2" t="str">
        <f t="shared" si="3"/>
        <v>May</v>
      </c>
      <c r="E77" s="2" t="str">
        <f t="shared" si="4"/>
        <v>2023</v>
      </c>
      <c r="F77" s="1">
        <v>126</v>
      </c>
      <c r="G77" s="1">
        <v>56</v>
      </c>
      <c r="H77" s="1">
        <v>29</v>
      </c>
      <c r="I77" s="1">
        <v>152</v>
      </c>
      <c r="J77" s="1">
        <v>28.7</v>
      </c>
      <c r="K77" s="1">
        <v>0.80100000000000005</v>
      </c>
      <c r="L77" s="1">
        <v>21</v>
      </c>
      <c r="M77" s="1">
        <v>0</v>
      </c>
      <c r="N77" s="1" t="s">
        <v>46</v>
      </c>
      <c r="O77" s="1" t="str">
        <f t="shared" si="5"/>
        <v>Young</v>
      </c>
    </row>
    <row r="78" spans="1:15" x14ac:dyDescent="0.3">
      <c r="A78" s="1">
        <v>1141</v>
      </c>
      <c r="B78" s="1" t="s">
        <v>9</v>
      </c>
      <c r="C78" s="2">
        <v>44845</v>
      </c>
      <c r="D78" s="2" t="str">
        <f t="shared" si="3"/>
        <v>Oct</v>
      </c>
      <c r="E78" s="2" t="str">
        <f t="shared" si="4"/>
        <v>2022</v>
      </c>
      <c r="F78" s="1">
        <v>96</v>
      </c>
      <c r="G78" s="1">
        <v>122</v>
      </c>
      <c r="H78" s="1">
        <v>25</v>
      </c>
      <c r="I78" s="1">
        <v>16</v>
      </c>
      <c r="J78" s="1">
        <v>22.4</v>
      </c>
      <c r="K78" s="1">
        <v>0.20699999999999999</v>
      </c>
      <c r="L78" s="1">
        <v>27</v>
      </c>
      <c r="M78" s="1">
        <v>0</v>
      </c>
      <c r="N78" s="1" t="s">
        <v>46</v>
      </c>
      <c r="O78" s="1" t="str">
        <f t="shared" si="5"/>
        <v>Young</v>
      </c>
    </row>
    <row r="79" spans="1:15" x14ac:dyDescent="0.3">
      <c r="A79" s="1">
        <v>7775</v>
      </c>
      <c r="B79" s="1" t="s">
        <v>8</v>
      </c>
      <c r="C79" s="2">
        <v>45525</v>
      </c>
      <c r="D79" s="2" t="str">
        <f t="shared" si="3"/>
        <v>Aug</v>
      </c>
      <c r="E79" s="2" t="str">
        <f t="shared" si="4"/>
        <v>2024</v>
      </c>
      <c r="F79" s="1">
        <v>144</v>
      </c>
      <c r="G79" s="1">
        <v>58</v>
      </c>
      <c r="H79" s="1">
        <v>28</v>
      </c>
      <c r="I79" s="1">
        <v>140</v>
      </c>
      <c r="J79" s="1">
        <v>29.5</v>
      </c>
      <c r="K79" s="1">
        <v>0.28699999999999998</v>
      </c>
      <c r="L79" s="1">
        <v>37</v>
      </c>
      <c r="M79" s="1">
        <v>0</v>
      </c>
      <c r="N79" s="1" t="s">
        <v>46</v>
      </c>
      <c r="O79" s="1" t="str">
        <f t="shared" si="5"/>
        <v>Middle-Aged</v>
      </c>
    </row>
    <row r="80" spans="1:15" x14ac:dyDescent="0.3">
      <c r="A80" s="1">
        <v>6107</v>
      </c>
      <c r="B80" s="1" t="s">
        <v>9</v>
      </c>
      <c r="C80" s="2">
        <v>45177</v>
      </c>
      <c r="D80" s="2" t="str">
        <f t="shared" si="3"/>
        <v>Sep</v>
      </c>
      <c r="E80" s="2" t="str">
        <f t="shared" si="4"/>
        <v>2023</v>
      </c>
      <c r="F80" s="1">
        <v>83</v>
      </c>
      <c r="G80" s="1">
        <v>58</v>
      </c>
      <c r="H80" s="1">
        <v>31</v>
      </c>
      <c r="I80" s="1">
        <v>18</v>
      </c>
      <c r="J80" s="1">
        <v>34.299999999999997</v>
      </c>
      <c r="K80" s="1">
        <v>0.33600000000000002</v>
      </c>
      <c r="L80" s="1">
        <v>25</v>
      </c>
      <c r="M80" s="1">
        <v>0</v>
      </c>
      <c r="N80" s="1" t="s">
        <v>46</v>
      </c>
      <c r="O80" s="1" t="str">
        <f t="shared" si="5"/>
        <v>Young</v>
      </c>
    </row>
    <row r="81" spans="1:15" x14ac:dyDescent="0.3">
      <c r="A81" s="1">
        <v>2989</v>
      </c>
      <c r="B81" s="1" t="s">
        <v>8</v>
      </c>
      <c r="C81" s="2">
        <v>45041</v>
      </c>
      <c r="D81" s="2" t="str">
        <f t="shared" si="3"/>
        <v>Apr</v>
      </c>
      <c r="E81" s="2" t="str">
        <f t="shared" si="4"/>
        <v>2023</v>
      </c>
      <c r="F81" s="1">
        <v>95</v>
      </c>
      <c r="G81" s="1">
        <v>85</v>
      </c>
      <c r="H81" s="1">
        <v>25</v>
      </c>
      <c r="I81" s="1">
        <v>36</v>
      </c>
      <c r="J81" s="1">
        <v>37.4</v>
      </c>
      <c r="K81" s="1">
        <v>0.247</v>
      </c>
      <c r="L81" s="1">
        <v>24</v>
      </c>
      <c r="M81" s="1">
        <v>1</v>
      </c>
      <c r="N81" s="1" t="s">
        <v>45</v>
      </c>
      <c r="O81" s="1" t="str">
        <f t="shared" si="5"/>
        <v>Young</v>
      </c>
    </row>
    <row r="82" spans="1:15" x14ac:dyDescent="0.3">
      <c r="A82" s="1">
        <v>7121</v>
      </c>
      <c r="B82" s="1" t="s">
        <v>9</v>
      </c>
      <c r="C82" s="2">
        <v>44776</v>
      </c>
      <c r="D82" s="2" t="str">
        <f t="shared" si="3"/>
        <v>Aug</v>
      </c>
      <c r="E82" s="2" t="str">
        <f t="shared" si="4"/>
        <v>2022</v>
      </c>
      <c r="F82" s="1">
        <v>171</v>
      </c>
      <c r="G82" s="1">
        <v>72</v>
      </c>
      <c r="H82" s="1">
        <v>33</v>
      </c>
      <c r="I82" s="1">
        <v>135</v>
      </c>
      <c r="J82" s="1">
        <v>33.299999999999997</v>
      </c>
      <c r="K82" s="1">
        <v>0.19900000000000001</v>
      </c>
      <c r="L82" s="1">
        <v>24</v>
      </c>
      <c r="M82" s="1">
        <v>1</v>
      </c>
      <c r="N82" s="1" t="s">
        <v>45</v>
      </c>
      <c r="O82" s="1" t="str">
        <f t="shared" si="5"/>
        <v>Young</v>
      </c>
    </row>
    <row r="83" spans="1:15" x14ac:dyDescent="0.3">
      <c r="A83" s="1">
        <v>5434</v>
      </c>
      <c r="B83" s="1" t="s">
        <v>8</v>
      </c>
      <c r="C83" s="2">
        <v>44599</v>
      </c>
      <c r="D83" s="2" t="str">
        <f t="shared" si="3"/>
        <v>Feb</v>
      </c>
      <c r="E83" s="2" t="str">
        <f t="shared" si="4"/>
        <v>2022</v>
      </c>
      <c r="F83" s="1">
        <v>155</v>
      </c>
      <c r="G83" s="1">
        <v>62</v>
      </c>
      <c r="H83" s="1">
        <v>26</v>
      </c>
      <c r="I83" s="1">
        <v>495</v>
      </c>
      <c r="J83" s="1">
        <v>34</v>
      </c>
      <c r="K83" s="1">
        <v>0.54300000000000004</v>
      </c>
      <c r="L83" s="1">
        <v>46</v>
      </c>
      <c r="M83" s="1">
        <v>1</v>
      </c>
      <c r="N83" s="1" t="s">
        <v>45</v>
      </c>
      <c r="O83" s="1" t="str">
        <f t="shared" si="5"/>
        <v>Middle-Aged</v>
      </c>
    </row>
    <row r="84" spans="1:15" x14ac:dyDescent="0.3">
      <c r="A84" s="1">
        <v>1724</v>
      </c>
      <c r="B84" s="1" t="s">
        <v>9</v>
      </c>
      <c r="C84" s="2">
        <v>45083</v>
      </c>
      <c r="D84" s="2" t="str">
        <f t="shared" si="3"/>
        <v>Jun</v>
      </c>
      <c r="E84" s="2" t="str">
        <f t="shared" si="4"/>
        <v>2023</v>
      </c>
      <c r="F84" s="1">
        <v>89</v>
      </c>
      <c r="G84" s="1">
        <v>76</v>
      </c>
      <c r="H84" s="1">
        <v>34</v>
      </c>
      <c r="I84" s="1">
        <v>37</v>
      </c>
      <c r="J84" s="1">
        <v>31.2</v>
      </c>
      <c r="K84" s="1">
        <v>0.192</v>
      </c>
      <c r="L84" s="1">
        <v>23</v>
      </c>
      <c r="M84" s="1">
        <v>0</v>
      </c>
      <c r="N84" s="1" t="s">
        <v>46</v>
      </c>
      <c r="O84" s="1" t="str">
        <f t="shared" si="5"/>
        <v>Young</v>
      </c>
    </row>
    <row r="85" spans="1:15" x14ac:dyDescent="0.3">
      <c r="A85" s="1">
        <v>9239</v>
      </c>
      <c r="B85" s="1" t="s">
        <v>8</v>
      </c>
      <c r="C85" s="2">
        <v>45109</v>
      </c>
      <c r="D85" s="2" t="str">
        <f t="shared" si="3"/>
        <v>Jul</v>
      </c>
      <c r="E85" s="2" t="str">
        <f t="shared" si="4"/>
        <v>2023</v>
      </c>
      <c r="F85" s="1">
        <v>76</v>
      </c>
      <c r="G85" s="1">
        <v>62</v>
      </c>
      <c r="H85" s="1">
        <v>25</v>
      </c>
      <c r="I85" s="1">
        <v>16</v>
      </c>
      <c r="J85" s="1">
        <v>34</v>
      </c>
      <c r="K85" s="1">
        <v>0.39100000000000001</v>
      </c>
      <c r="L85" s="1">
        <v>25</v>
      </c>
      <c r="M85" s="1">
        <v>0</v>
      </c>
      <c r="N85" s="1" t="s">
        <v>46</v>
      </c>
      <c r="O85" s="1" t="str">
        <f t="shared" si="5"/>
        <v>Young</v>
      </c>
    </row>
    <row r="86" spans="1:15" x14ac:dyDescent="0.3">
      <c r="A86" s="1">
        <v>7682</v>
      </c>
      <c r="B86" s="1" t="s">
        <v>9</v>
      </c>
      <c r="C86" s="2">
        <v>45127</v>
      </c>
      <c r="D86" s="2" t="str">
        <f t="shared" si="3"/>
        <v>Jul</v>
      </c>
      <c r="E86" s="2" t="str">
        <f t="shared" si="4"/>
        <v>2023</v>
      </c>
      <c r="F86" s="1">
        <v>160</v>
      </c>
      <c r="G86" s="1">
        <v>54</v>
      </c>
      <c r="H86" s="1">
        <v>32</v>
      </c>
      <c r="I86" s="1">
        <v>175</v>
      </c>
      <c r="J86" s="1">
        <v>30.5</v>
      </c>
      <c r="K86" s="1">
        <v>0.58799999999999997</v>
      </c>
      <c r="L86" s="1">
        <v>39</v>
      </c>
      <c r="M86" s="1">
        <v>1</v>
      </c>
      <c r="N86" s="1" t="s">
        <v>45</v>
      </c>
      <c r="O86" s="1" t="str">
        <f t="shared" si="5"/>
        <v>Middle-Aged</v>
      </c>
    </row>
    <row r="87" spans="1:15" x14ac:dyDescent="0.3">
      <c r="A87" s="1">
        <v>9304</v>
      </c>
      <c r="B87" s="1" t="s">
        <v>8</v>
      </c>
      <c r="C87" s="2">
        <v>44907</v>
      </c>
      <c r="D87" s="2" t="str">
        <f t="shared" si="3"/>
        <v>Dec</v>
      </c>
      <c r="E87" s="2" t="str">
        <f t="shared" si="4"/>
        <v>2022</v>
      </c>
      <c r="F87" s="1">
        <v>146</v>
      </c>
      <c r="G87" s="1">
        <v>92</v>
      </c>
      <c r="H87" s="1">
        <v>25</v>
      </c>
      <c r="I87" s="1">
        <v>16</v>
      </c>
      <c r="J87" s="1">
        <v>31.2</v>
      </c>
      <c r="K87" s="1">
        <v>0.53900000000000003</v>
      </c>
      <c r="L87" s="1">
        <v>61</v>
      </c>
      <c r="M87" s="1">
        <v>1</v>
      </c>
      <c r="N87" s="1" t="s">
        <v>45</v>
      </c>
      <c r="O87" s="1" t="str">
        <f t="shared" si="5"/>
        <v>Old</v>
      </c>
    </row>
    <row r="88" spans="1:15" x14ac:dyDescent="0.3">
      <c r="A88" s="1">
        <v>7153</v>
      </c>
      <c r="B88" s="1" t="s">
        <v>9</v>
      </c>
      <c r="C88" s="2">
        <v>45582</v>
      </c>
      <c r="D88" s="2" t="str">
        <f t="shared" si="3"/>
        <v>Oct</v>
      </c>
      <c r="E88" s="2" t="str">
        <f t="shared" si="4"/>
        <v>2024</v>
      </c>
      <c r="F88" s="1">
        <v>124</v>
      </c>
      <c r="G88" s="1">
        <v>74</v>
      </c>
      <c r="H88" s="1">
        <v>25</v>
      </c>
      <c r="I88" s="1">
        <v>16</v>
      </c>
      <c r="J88" s="1">
        <v>34</v>
      </c>
      <c r="K88" s="1">
        <v>0.22</v>
      </c>
      <c r="L88" s="1">
        <v>38</v>
      </c>
      <c r="M88" s="1">
        <v>1</v>
      </c>
      <c r="N88" s="1" t="s">
        <v>45</v>
      </c>
      <c r="O88" s="1" t="str">
        <f t="shared" si="5"/>
        <v>Middle-Aged</v>
      </c>
    </row>
    <row r="89" spans="1:15" x14ac:dyDescent="0.3">
      <c r="A89" s="1">
        <v>3992</v>
      </c>
      <c r="B89" s="1" t="s">
        <v>9</v>
      </c>
      <c r="C89" s="2">
        <v>45591</v>
      </c>
      <c r="D89" s="2" t="str">
        <f t="shared" si="3"/>
        <v>Oct</v>
      </c>
      <c r="E89" s="2" t="str">
        <f t="shared" si="4"/>
        <v>2024</v>
      </c>
      <c r="F89" s="1">
        <v>78</v>
      </c>
      <c r="G89" s="1">
        <v>48</v>
      </c>
      <c r="H89" s="1">
        <v>25</v>
      </c>
      <c r="I89" s="1">
        <v>16</v>
      </c>
      <c r="J89" s="1">
        <v>33.700000000000003</v>
      </c>
      <c r="K89" s="1">
        <v>0.65400000000000003</v>
      </c>
      <c r="L89" s="1">
        <v>25</v>
      </c>
      <c r="M89" s="1">
        <v>0</v>
      </c>
      <c r="N89" s="1" t="s">
        <v>46</v>
      </c>
      <c r="O89" s="1" t="str">
        <f t="shared" si="5"/>
        <v>Young</v>
      </c>
    </row>
    <row r="90" spans="1:15" x14ac:dyDescent="0.3">
      <c r="A90" s="1">
        <v>5584</v>
      </c>
      <c r="B90" s="1" t="s">
        <v>8</v>
      </c>
      <c r="C90" s="2">
        <v>45610</v>
      </c>
      <c r="D90" s="2" t="str">
        <f t="shared" si="3"/>
        <v>Nov</v>
      </c>
      <c r="E90" s="2" t="str">
        <f t="shared" si="4"/>
        <v>2024</v>
      </c>
      <c r="F90" s="1">
        <v>99</v>
      </c>
      <c r="G90" s="1">
        <v>76</v>
      </c>
      <c r="H90" s="1">
        <v>15</v>
      </c>
      <c r="I90" s="1">
        <v>51</v>
      </c>
      <c r="J90" s="1">
        <v>23.2</v>
      </c>
      <c r="K90" s="1">
        <v>0.223</v>
      </c>
      <c r="L90" s="1">
        <v>21</v>
      </c>
      <c r="M90" s="1">
        <v>0</v>
      </c>
      <c r="N90" s="1" t="s">
        <v>46</v>
      </c>
      <c r="O90" s="1" t="str">
        <f t="shared" si="5"/>
        <v>Young</v>
      </c>
    </row>
    <row r="91" spans="1:15" x14ac:dyDescent="0.3">
      <c r="A91" s="1">
        <v>2133</v>
      </c>
      <c r="B91" s="1" t="s">
        <v>8</v>
      </c>
      <c r="C91" s="2">
        <v>45278</v>
      </c>
      <c r="D91" s="2" t="str">
        <f t="shared" si="3"/>
        <v>Dec</v>
      </c>
      <c r="E91" s="2" t="str">
        <f t="shared" si="4"/>
        <v>2023</v>
      </c>
      <c r="F91" s="1">
        <v>162</v>
      </c>
      <c r="G91" s="1">
        <v>76</v>
      </c>
      <c r="H91" s="1">
        <v>56</v>
      </c>
      <c r="I91" s="1">
        <v>100</v>
      </c>
      <c r="J91" s="1">
        <v>53.2</v>
      </c>
      <c r="K91" s="1">
        <v>0.75900000000000001</v>
      </c>
      <c r="L91" s="1">
        <v>25</v>
      </c>
      <c r="M91" s="1">
        <v>1</v>
      </c>
      <c r="N91" s="1" t="s">
        <v>45</v>
      </c>
      <c r="O91" s="1" t="str">
        <f t="shared" si="5"/>
        <v>Young</v>
      </c>
    </row>
    <row r="92" spans="1:15" x14ac:dyDescent="0.3">
      <c r="A92" s="1">
        <v>2369</v>
      </c>
      <c r="B92" s="1" t="s">
        <v>8</v>
      </c>
      <c r="C92" s="2">
        <v>45270</v>
      </c>
      <c r="D92" s="2" t="str">
        <f t="shared" si="3"/>
        <v>Dec</v>
      </c>
      <c r="E92" s="2" t="str">
        <f t="shared" si="4"/>
        <v>2023</v>
      </c>
      <c r="F92" s="1">
        <v>107</v>
      </c>
      <c r="G92" s="1">
        <v>74</v>
      </c>
      <c r="H92" s="1">
        <v>30</v>
      </c>
      <c r="I92" s="1">
        <v>100</v>
      </c>
      <c r="J92" s="1">
        <v>33.6</v>
      </c>
      <c r="K92" s="1">
        <v>0.40400000000000003</v>
      </c>
      <c r="L92" s="1">
        <v>23</v>
      </c>
      <c r="M92" s="1">
        <v>0</v>
      </c>
      <c r="N92" s="1" t="s">
        <v>46</v>
      </c>
      <c r="O92" s="1" t="str">
        <f t="shared" si="5"/>
        <v>Young</v>
      </c>
    </row>
    <row r="93" spans="1:15" x14ac:dyDescent="0.3">
      <c r="A93" s="1">
        <v>3682</v>
      </c>
      <c r="B93" s="1" t="s">
        <v>9</v>
      </c>
      <c r="C93" s="2">
        <v>44798</v>
      </c>
      <c r="D93" s="2" t="str">
        <f t="shared" si="3"/>
        <v>Aug</v>
      </c>
      <c r="E93" s="2" t="str">
        <f t="shared" si="4"/>
        <v>2022</v>
      </c>
      <c r="F93" s="1">
        <v>132</v>
      </c>
      <c r="G93" s="1">
        <v>80</v>
      </c>
      <c r="H93" s="1">
        <v>17</v>
      </c>
      <c r="I93" s="1">
        <v>16</v>
      </c>
      <c r="J93" s="1">
        <v>26.8</v>
      </c>
      <c r="K93" s="1">
        <v>0.186</v>
      </c>
      <c r="L93" s="1">
        <v>69</v>
      </c>
      <c r="M93" s="1">
        <v>0</v>
      </c>
      <c r="N93" s="1" t="s">
        <v>46</v>
      </c>
      <c r="O93" s="1" t="str">
        <f t="shared" si="5"/>
        <v>Very Old</v>
      </c>
    </row>
    <row r="94" spans="1:15" x14ac:dyDescent="0.3">
      <c r="A94" s="1">
        <v>4648</v>
      </c>
      <c r="B94" s="1" t="s">
        <v>8</v>
      </c>
      <c r="C94" s="2">
        <v>44587</v>
      </c>
      <c r="D94" s="2" t="str">
        <f t="shared" si="3"/>
        <v>Jan</v>
      </c>
      <c r="E94" s="2" t="str">
        <f t="shared" si="4"/>
        <v>2022</v>
      </c>
      <c r="F94" s="1">
        <v>113</v>
      </c>
      <c r="G94" s="1">
        <v>76</v>
      </c>
      <c r="H94" s="1">
        <v>17</v>
      </c>
      <c r="I94" s="1">
        <v>12</v>
      </c>
      <c r="J94" s="1">
        <v>33.299999999999997</v>
      </c>
      <c r="K94" s="1">
        <v>0.27800000000000002</v>
      </c>
      <c r="L94" s="1">
        <v>23</v>
      </c>
      <c r="M94" s="1">
        <v>1</v>
      </c>
      <c r="N94" s="1" t="s">
        <v>45</v>
      </c>
      <c r="O94" s="1" t="str">
        <f t="shared" si="5"/>
        <v>Young</v>
      </c>
    </row>
    <row r="95" spans="1:15" x14ac:dyDescent="0.3">
      <c r="A95" s="1">
        <v>8229</v>
      </c>
      <c r="B95" s="1" t="s">
        <v>9</v>
      </c>
      <c r="C95" s="2">
        <v>44541</v>
      </c>
      <c r="D95" s="2" t="str">
        <f t="shared" si="3"/>
        <v>Dec</v>
      </c>
      <c r="E95" s="2" t="str">
        <f t="shared" si="4"/>
        <v>2021</v>
      </c>
      <c r="F95" s="1">
        <v>88</v>
      </c>
      <c r="G95" s="1">
        <v>30</v>
      </c>
      <c r="H95" s="1">
        <v>42</v>
      </c>
      <c r="I95" s="1">
        <v>99</v>
      </c>
      <c r="J95" s="1">
        <v>55</v>
      </c>
      <c r="K95" s="1">
        <v>0.496</v>
      </c>
      <c r="L95" s="1">
        <v>26</v>
      </c>
      <c r="M95" s="1">
        <v>1</v>
      </c>
      <c r="N95" s="1" t="s">
        <v>45</v>
      </c>
      <c r="O95" s="1" t="str">
        <f t="shared" si="5"/>
        <v>Young</v>
      </c>
    </row>
    <row r="96" spans="1:15" x14ac:dyDescent="0.3">
      <c r="A96" s="1">
        <v>9581</v>
      </c>
      <c r="B96" s="1" t="s">
        <v>9</v>
      </c>
      <c r="C96" s="2">
        <v>44733</v>
      </c>
      <c r="D96" s="2" t="str">
        <f t="shared" si="3"/>
        <v>Jun</v>
      </c>
      <c r="E96" s="2" t="str">
        <f t="shared" si="4"/>
        <v>2022</v>
      </c>
      <c r="F96" s="1">
        <v>120</v>
      </c>
      <c r="G96" s="1">
        <v>70</v>
      </c>
      <c r="H96" s="1">
        <v>30</v>
      </c>
      <c r="I96" s="1">
        <v>135</v>
      </c>
      <c r="J96" s="1">
        <v>42.9</v>
      </c>
      <c r="K96" s="1">
        <v>0.45200000000000001</v>
      </c>
      <c r="L96" s="1">
        <v>30</v>
      </c>
      <c r="M96" s="1">
        <v>0</v>
      </c>
      <c r="N96" s="1" t="s">
        <v>46</v>
      </c>
      <c r="O96" s="1" t="str">
        <f t="shared" si="5"/>
        <v>Young</v>
      </c>
    </row>
    <row r="97" spans="1:15" x14ac:dyDescent="0.3">
      <c r="A97" s="1">
        <v>8464</v>
      </c>
      <c r="B97" s="1" t="s">
        <v>9</v>
      </c>
      <c r="C97" s="2">
        <v>44523</v>
      </c>
      <c r="D97" s="2" t="str">
        <f t="shared" si="3"/>
        <v>Nov</v>
      </c>
      <c r="E97" s="2" t="str">
        <f t="shared" si="4"/>
        <v>2021</v>
      </c>
      <c r="F97" s="1">
        <v>118</v>
      </c>
      <c r="G97" s="1">
        <v>58</v>
      </c>
      <c r="H97" s="1">
        <v>36</v>
      </c>
      <c r="I97" s="1">
        <v>94</v>
      </c>
      <c r="J97" s="1">
        <v>33.299999999999997</v>
      </c>
      <c r="K97" s="1">
        <v>0.26100000000000001</v>
      </c>
      <c r="L97" s="1">
        <v>23</v>
      </c>
      <c r="M97" s="1">
        <v>0</v>
      </c>
      <c r="N97" s="1" t="s">
        <v>46</v>
      </c>
      <c r="O97" s="1" t="str">
        <f t="shared" si="5"/>
        <v>Young</v>
      </c>
    </row>
    <row r="98" spans="1:15" x14ac:dyDescent="0.3">
      <c r="A98" s="1">
        <v>3059</v>
      </c>
      <c r="B98" s="1" t="s">
        <v>9</v>
      </c>
      <c r="C98" s="2">
        <v>45422</v>
      </c>
      <c r="D98" s="2" t="str">
        <f t="shared" si="3"/>
        <v>May</v>
      </c>
      <c r="E98" s="2" t="str">
        <f t="shared" si="4"/>
        <v>2024</v>
      </c>
      <c r="F98" s="1">
        <v>117</v>
      </c>
      <c r="G98" s="1">
        <v>88</v>
      </c>
      <c r="H98" s="1">
        <v>24</v>
      </c>
      <c r="I98" s="1">
        <v>145</v>
      </c>
      <c r="J98" s="1">
        <v>34.5</v>
      </c>
      <c r="K98" s="1">
        <v>0.40300000000000002</v>
      </c>
      <c r="L98" s="1">
        <v>40</v>
      </c>
      <c r="M98" s="1">
        <v>1</v>
      </c>
      <c r="N98" s="1" t="s">
        <v>45</v>
      </c>
      <c r="O98" s="1" t="str">
        <f t="shared" si="5"/>
        <v>Middle-Aged</v>
      </c>
    </row>
    <row r="99" spans="1:15" x14ac:dyDescent="0.3">
      <c r="A99" s="1">
        <v>7973</v>
      </c>
      <c r="B99" s="1" t="s">
        <v>8</v>
      </c>
      <c r="C99" s="2">
        <v>44902</v>
      </c>
      <c r="D99" s="2" t="str">
        <f t="shared" si="3"/>
        <v>Dec</v>
      </c>
      <c r="E99" s="2" t="str">
        <f t="shared" si="4"/>
        <v>2022</v>
      </c>
      <c r="F99" s="1">
        <v>105</v>
      </c>
      <c r="G99" s="1">
        <v>84</v>
      </c>
      <c r="H99" s="1">
        <v>17</v>
      </c>
      <c r="I99" s="1">
        <v>12</v>
      </c>
      <c r="J99" s="1">
        <v>27.9</v>
      </c>
      <c r="K99" s="1">
        <v>0.74099999999999999</v>
      </c>
      <c r="L99" s="1">
        <v>62</v>
      </c>
      <c r="M99" s="1">
        <v>1</v>
      </c>
      <c r="N99" s="1" t="s">
        <v>45</v>
      </c>
      <c r="O99" s="1" t="str">
        <f t="shared" si="5"/>
        <v>Old</v>
      </c>
    </row>
    <row r="100" spans="1:15" x14ac:dyDescent="0.3">
      <c r="A100" s="1">
        <v>8065</v>
      </c>
      <c r="B100" s="1" t="s">
        <v>8</v>
      </c>
      <c r="C100" s="2">
        <v>45119</v>
      </c>
      <c r="D100" s="2" t="str">
        <f t="shared" si="3"/>
        <v>Jul</v>
      </c>
      <c r="E100" s="2" t="str">
        <f t="shared" si="4"/>
        <v>2023</v>
      </c>
      <c r="F100" s="1">
        <v>173</v>
      </c>
      <c r="G100" s="1">
        <v>70</v>
      </c>
      <c r="H100" s="1">
        <v>14</v>
      </c>
      <c r="I100" s="1">
        <v>168</v>
      </c>
      <c r="J100" s="1">
        <v>29.7</v>
      </c>
      <c r="K100" s="1">
        <v>0.36099999999999999</v>
      </c>
      <c r="L100" s="1">
        <v>33</v>
      </c>
      <c r="M100" s="1">
        <v>1</v>
      </c>
      <c r="N100" s="1" t="s">
        <v>45</v>
      </c>
      <c r="O100" s="1" t="str">
        <f t="shared" si="5"/>
        <v>Young</v>
      </c>
    </row>
    <row r="101" spans="1:15" x14ac:dyDescent="0.3">
      <c r="A101" s="1">
        <v>8821</v>
      </c>
      <c r="B101" s="1" t="s">
        <v>9</v>
      </c>
      <c r="C101" s="2">
        <v>44282</v>
      </c>
      <c r="D101" s="2" t="str">
        <f t="shared" si="3"/>
        <v>Mar</v>
      </c>
      <c r="E101" s="2" t="str">
        <f t="shared" si="4"/>
        <v>2021</v>
      </c>
      <c r="F101" s="1">
        <v>122</v>
      </c>
      <c r="G101" s="1">
        <v>56</v>
      </c>
      <c r="H101" s="1">
        <v>17</v>
      </c>
      <c r="I101" s="1">
        <v>12</v>
      </c>
      <c r="J101" s="1">
        <v>33.299999999999997</v>
      </c>
      <c r="K101" s="1">
        <v>1.1140000000000001</v>
      </c>
      <c r="L101" s="1">
        <v>33</v>
      </c>
      <c r="M101" s="1">
        <v>1</v>
      </c>
      <c r="N101" s="1" t="s">
        <v>45</v>
      </c>
      <c r="O101" s="1" t="str">
        <f t="shared" si="5"/>
        <v>Young</v>
      </c>
    </row>
    <row r="102" spans="1:15" x14ac:dyDescent="0.3">
      <c r="A102" s="1">
        <v>4735</v>
      </c>
      <c r="B102" s="1" t="s">
        <v>9</v>
      </c>
      <c r="C102" s="2">
        <v>44726</v>
      </c>
      <c r="D102" s="2" t="str">
        <f t="shared" si="3"/>
        <v>Jun</v>
      </c>
      <c r="E102" s="2" t="str">
        <f t="shared" si="4"/>
        <v>2022</v>
      </c>
      <c r="F102" s="1">
        <v>170</v>
      </c>
      <c r="G102" s="1">
        <v>64</v>
      </c>
      <c r="H102" s="1">
        <v>37</v>
      </c>
      <c r="I102" s="1">
        <v>225</v>
      </c>
      <c r="J102" s="1">
        <v>34.5</v>
      </c>
      <c r="K102" s="1">
        <v>0.35599999999999998</v>
      </c>
      <c r="L102" s="1">
        <v>30</v>
      </c>
      <c r="M102" s="1">
        <v>1</v>
      </c>
      <c r="N102" s="1" t="s">
        <v>45</v>
      </c>
      <c r="O102" s="1" t="str">
        <f t="shared" si="5"/>
        <v>Young</v>
      </c>
    </row>
    <row r="103" spans="1:15" x14ac:dyDescent="0.3">
      <c r="A103" s="1">
        <v>8699</v>
      </c>
      <c r="B103" s="1" t="s">
        <v>8</v>
      </c>
      <c r="C103" s="2">
        <v>45431</v>
      </c>
      <c r="D103" s="2" t="str">
        <f t="shared" si="3"/>
        <v>May</v>
      </c>
      <c r="E103" s="2" t="str">
        <f t="shared" si="4"/>
        <v>2024</v>
      </c>
      <c r="F103" s="1">
        <v>96</v>
      </c>
      <c r="G103" s="1">
        <v>68</v>
      </c>
      <c r="H103" s="1">
        <v>13</v>
      </c>
      <c r="I103" s="1">
        <v>49</v>
      </c>
      <c r="J103" s="1">
        <v>21.1</v>
      </c>
      <c r="K103" s="1">
        <v>0.64700000000000002</v>
      </c>
      <c r="L103" s="1">
        <v>26</v>
      </c>
      <c r="M103" s="1">
        <v>0</v>
      </c>
      <c r="N103" s="1" t="s">
        <v>46</v>
      </c>
      <c r="O103" s="1" t="str">
        <f t="shared" si="5"/>
        <v>Young</v>
      </c>
    </row>
    <row r="104" spans="1:15" x14ac:dyDescent="0.3">
      <c r="A104" s="1">
        <v>1914</v>
      </c>
      <c r="B104" s="1" t="s">
        <v>8</v>
      </c>
      <c r="C104" s="2">
        <v>44691</v>
      </c>
      <c r="D104" s="2" t="str">
        <f t="shared" si="3"/>
        <v>May</v>
      </c>
      <c r="E104" s="2" t="str">
        <f t="shared" si="4"/>
        <v>2022</v>
      </c>
      <c r="F104" s="1">
        <v>125</v>
      </c>
      <c r="G104" s="1">
        <v>60</v>
      </c>
      <c r="H104" s="1">
        <v>20</v>
      </c>
      <c r="I104" s="1">
        <v>140</v>
      </c>
      <c r="J104" s="1">
        <v>33.799999999999997</v>
      </c>
      <c r="K104" s="1">
        <v>8.7999999999999995E-2</v>
      </c>
      <c r="L104" s="1">
        <v>31</v>
      </c>
      <c r="M104" s="1">
        <v>0</v>
      </c>
      <c r="N104" s="1" t="s">
        <v>46</v>
      </c>
      <c r="O104" s="1" t="str">
        <f t="shared" si="5"/>
        <v>Young</v>
      </c>
    </row>
    <row r="105" spans="1:15" x14ac:dyDescent="0.3">
      <c r="A105" s="1">
        <v>2061</v>
      </c>
      <c r="B105" s="1" t="s">
        <v>8</v>
      </c>
      <c r="C105" s="2">
        <v>45062</v>
      </c>
      <c r="D105" s="2" t="str">
        <f t="shared" si="3"/>
        <v>May</v>
      </c>
      <c r="E105" s="2" t="str">
        <f t="shared" si="4"/>
        <v>2023</v>
      </c>
      <c r="F105" s="1">
        <v>100</v>
      </c>
      <c r="G105" s="1">
        <v>70</v>
      </c>
      <c r="H105" s="1">
        <v>26</v>
      </c>
      <c r="I105" s="1">
        <v>50</v>
      </c>
      <c r="J105" s="1">
        <v>30.8</v>
      </c>
      <c r="K105" s="1">
        <v>0.59699999999999998</v>
      </c>
      <c r="L105" s="1">
        <v>21</v>
      </c>
      <c r="M105" s="1">
        <v>0</v>
      </c>
      <c r="N105" s="1" t="s">
        <v>46</v>
      </c>
      <c r="O105" s="1" t="str">
        <f t="shared" si="5"/>
        <v>Young</v>
      </c>
    </row>
    <row r="106" spans="1:15" x14ac:dyDescent="0.3">
      <c r="A106" s="1">
        <v>4248</v>
      </c>
      <c r="B106" s="1" t="s">
        <v>8</v>
      </c>
      <c r="C106" s="2">
        <v>45146</v>
      </c>
      <c r="D106" s="2" t="str">
        <f t="shared" si="3"/>
        <v>Aug</v>
      </c>
      <c r="E106" s="2" t="str">
        <f t="shared" si="4"/>
        <v>2023</v>
      </c>
      <c r="F106" s="1">
        <v>93</v>
      </c>
      <c r="G106" s="1">
        <v>60</v>
      </c>
      <c r="H106" s="1">
        <v>25</v>
      </c>
      <c r="I106" s="1">
        <v>92</v>
      </c>
      <c r="J106" s="1">
        <v>28.7</v>
      </c>
      <c r="K106" s="1">
        <v>0.53200000000000003</v>
      </c>
      <c r="L106" s="1">
        <v>22</v>
      </c>
      <c r="M106" s="1">
        <v>0</v>
      </c>
      <c r="N106" s="1" t="s">
        <v>46</v>
      </c>
      <c r="O106" s="1" t="str">
        <f t="shared" si="5"/>
        <v>Young</v>
      </c>
    </row>
    <row r="107" spans="1:15" x14ac:dyDescent="0.3">
      <c r="A107" s="1">
        <v>6600</v>
      </c>
      <c r="B107" s="1" t="s">
        <v>8</v>
      </c>
      <c r="C107" s="2">
        <v>44780</v>
      </c>
      <c r="D107" s="2" t="str">
        <f t="shared" si="3"/>
        <v>Aug</v>
      </c>
      <c r="E107" s="2" t="str">
        <f t="shared" si="4"/>
        <v>2022</v>
      </c>
      <c r="F107" s="1">
        <v>129</v>
      </c>
      <c r="G107" s="1">
        <v>80</v>
      </c>
      <c r="H107" s="1">
        <v>17</v>
      </c>
      <c r="I107" s="1">
        <v>12</v>
      </c>
      <c r="J107" s="1">
        <v>31.2</v>
      </c>
      <c r="K107" s="1">
        <v>0.70299999999999996</v>
      </c>
      <c r="L107" s="1">
        <v>29</v>
      </c>
      <c r="M107" s="1">
        <v>0</v>
      </c>
      <c r="N107" s="1" t="s">
        <v>46</v>
      </c>
      <c r="O107" s="1" t="str">
        <f t="shared" si="5"/>
        <v>Young</v>
      </c>
    </row>
    <row r="108" spans="1:15" x14ac:dyDescent="0.3">
      <c r="A108" s="1">
        <v>8513</v>
      </c>
      <c r="B108" s="1" t="s">
        <v>9</v>
      </c>
      <c r="C108" s="2">
        <v>44770</v>
      </c>
      <c r="D108" s="2" t="str">
        <f t="shared" si="3"/>
        <v>Jul</v>
      </c>
      <c r="E108" s="2" t="str">
        <f t="shared" si="4"/>
        <v>2022</v>
      </c>
      <c r="F108" s="1">
        <v>105</v>
      </c>
      <c r="G108" s="1">
        <v>72</v>
      </c>
      <c r="H108" s="1">
        <v>29</v>
      </c>
      <c r="I108" s="1">
        <v>325</v>
      </c>
      <c r="J108" s="1">
        <v>36.9</v>
      </c>
      <c r="K108" s="1">
        <v>0.159</v>
      </c>
      <c r="L108" s="1">
        <v>28</v>
      </c>
      <c r="M108" s="1">
        <v>0</v>
      </c>
      <c r="N108" s="1" t="s">
        <v>46</v>
      </c>
      <c r="O108" s="1" t="str">
        <f t="shared" si="5"/>
        <v>Young</v>
      </c>
    </row>
    <row r="109" spans="1:15" x14ac:dyDescent="0.3">
      <c r="A109" s="1">
        <v>4888</v>
      </c>
      <c r="B109" s="1" t="s">
        <v>9</v>
      </c>
      <c r="C109" s="2">
        <v>45606</v>
      </c>
      <c r="D109" s="2" t="str">
        <f t="shared" si="3"/>
        <v>Nov</v>
      </c>
      <c r="E109" s="2" t="str">
        <f t="shared" si="4"/>
        <v>2024</v>
      </c>
      <c r="F109" s="1">
        <v>128</v>
      </c>
      <c r="G109" s="1">
        <v>78</v>
      </c>
      <c r="H109" s="1">
        <v>17</v>
      </c>
      <c r="I109" s="1">
        <v>12</v>
      </c>
      <c r="J109" s="1">
        <v>21.1</v>
      </c>
      <c r="K109" s="1">
        <v>0.26800000000000002</v>
      </c>
      <c r="L109" s="1">
        <v>55</v>
      </c>
      <c r="M109" s="1">
        <v>0</v>
      </c>
      <c r="N109" s="1" t="s">
        <v>46</v>
      </c>
      <c r="O109" s="1" t="str">
        <f t="shared" si="5"/>
        <v>Old</v>
      </c>
    </row>
    <row r="110" spans="1:15" x14ac:dyDescent="0.3">
      <c r="A110" s="1">
        <v>8257</v>
      </c>
      <c r="B110" s="1" t="s">
        <v>8</v>
      </c>
      <c r="C110" s="2">
        <v>44871</v>
      </c>
      <c r="D110" s="2" t="str">
        <f t="shared" si="3"/>
        <v>Nov</v>
      </c>
      <c r="E110" s="2" t="str">
        <f t="shared" si="4"/>
        <v>2022</v>
      </c>
      <c r="F110" s="1">
        <v>108</v>
      </c>
      <c r="G110" s="1">
        <v>52</v>
      </c>
      <c r="H110" s="1">
        <v>26</v>
      </c>
      <c r="I110" s="1">
        <v>63</v>
      </c>
      <c r="J110" s="1">
        <v>32.5</v>
      </c>
      <c r="K110" s="1">
        <v>0.318</v>
      </c>
      <c r="L110" s="1">
        <v>22</v>
      </c>
      <c r="M110" s="1">
        <v>0</v>
      </c>
      <c r="N110" s="1" t="s">
        <v>46</v>
      </c>
      <c r="O110" s="1" t="str">
        <f t="shared" si="5"/>
        <v>Young</v>
      </c>
    </row>
    <row r="111" spans="1:15" x14ac:dyDescent="0.3">
      <c r="A111" s="1">
        <v>7299</v>
      </c>
      <c r="B111" s="1" t="s">
        <v>8</v>
      </c>
      <c r="C111" s="2">
        <v>44587</v>
      </c>
      <c r="D111" s="2" t="str">
        <f t="shared" si="3"/>
        <v>Jan</v>
      </c>
      <c r="E111" s="2" t="str">
        <f t="shared" si="4"/>
        <v>2022</v>
      </c>
      <c r="F111" s="1">
        <v>108</v>
      </c>
      <c r="G111" s="1">
        <v>66</v>
      </c>
      <c r="H111" s="1">
        <v>17</v>
      </c>
      <c r="I111" s="1">
        <v>12</v>
      </c>
      <c r="J111" s="1">
        <v>32.4</v>
      </c>
      <c r="K111" s="1">
        <v>0.27200000000000002</v>
      </c>
      <c r="L111" s="1">
        <v>42</v>
      </c>
      <c r="M111" s="1">
        <v>1</v>
      </c>
      <c r="N111" s="1" t="s">
        <v>45</v>
      </c>
      <c r="O111" s="1" t="str">
        <f t="shared" si="5"/>
        <v>Middle-Aged</v>
      </c>
    </row>
    <row r="112" spans="1:15" x14ac:dyDescent="0.3">
      <c r="A112" s="1">
        <v>1663</v>
      </c>
      <c r="B112" s="1" t="s">
        <v>8</v>
      </c>
      <c r="C112" s="2">
        <v>45317</v>
      </c>
      <c r="D112" s="2" t="str">
        <f t="shared" si="3"/>
        <v>Jan</v>
      </c>
      <c r="E112" s="2" t="str">
        <f t="shared" si="4"/>
        <v>2024</v>
      </c>
      <c r="F112" s="1">
        <v>154</v>
      </c>
      <c r="G112" s="1">
        <v>62</v>
      </c>
      <c r="H112" s="1">
        <v>31</v>
      </c>
      <c r="I112" s="1">
        <v>284</v>
      </c>
      <c r="J112" s="1">
        <v>32.799999999999997</v>
      </c>
      <c r="K112" s="1">
        <v>0.23699999999999999</v>
      </c>
      <c r="L112" s="1">
        <v>23</v>
      </c>
      <c r="M112" s="1">
        <v>0</v>
      </c>
      <c r="N112" s="1" t="s">
        <v>46</v>
      </c>
      <c r="O112" s="1" t="str">
        <f t="shared" si="5"/>
        <v>Young</v>
      </c>
    </row>
    <row r="113" spans="1:15" x14ac:dyDescent="0.3">
      <c r="A113" s="1">
        <v>7630</v>
      </c>
      <c r="B113" s="1" t="s">
        <v>8</v>
      </c>
      <c r="C113" s="2">
        <v>44591</v>
      </c>
      <c r="D113" s="2" t="str">
        <f t="shared" si="3"/>
        <v>Jan</v>
      </c>
      <c r="E113" s="2" t="str">
        <f t="shared" si="4"/>
        <v>2022</v>
      </c>
      <c r="F113" s="1">
        <v>106</v>
      </c>
      <c r="G113" s="1">
        <v>64</v>
      </c>
      <c r="H113" s="1">
        <v>35</v>
      </c>
      <c r="I113" s="1">
        <v>119</v>
      </c>
      <c r="J113" s="1">
        <v>30.5</v>
      </c>
      <c r="K113" s="1">
        <v>1.4</v>
      </c>
      <c r="L113" s="1">
        <v>34</v>
      </c>
      <c r="M113" s="1">
        <v>0</v>
      </c>
      <c r="N113" s="1" t="s">
        <v>46</v>
      </c>
      <c r="O113" s="1" t="str">
        <f t="shared" si="5"/>
        <v>Young</v>
      </c>
    </row>
    <row r="114" spans="1:15" x14ac:dyDescent="0.3">
      <c r="A114" s="1">
        <v>2788</v>
      </c>
      <c r="B114" s="1" t="s">
        <v>9</v>
      </c>
      <c r="C114" s="2">
        <v>44225</v>
      </c>
      <c r="D114" s="2" t="str">
        <f t="shared" si="3"/>
        <v>Jan</v>
      </c>
      <c r="E114" s="2" t="str">
        <f t="shared" si="4"/>
        <v>2021</v>
      </c>
      <c r="F114" s="1">
        <v>147</v>
      </c>
      <c r="G114" s="1">
        <v>78</v>
      </c>
      <c r="H114" s="1">
        <v>17</v>
      </c>
      <c r="I114" s="1">
        <v>12</v>
      </c>
      <c r="J114" s="1">
        <v>33.700000000000003</v>
      </c>
      <c r="K114" s="1">
        <v>0.218</v>
      </c>
      <c r="L114" s="1">
        <v>65</v>
      </c>
      <c r="M114" s="1">
        <v>0</v>
      </c>
      <c r="N114" s="1" t="s">
        <v>46</v>
      </c>
      <c r="O114" s="1" t="str">
        <f t="shared" si="5"/>
        <v>Old</v>
      </c>
    </row>
    <row r="115" spans="1:15" x14ac:dyDescent="0.3">
      <c r="A115" s="1">
        <v>9939</v>
      </c>
      <c r="B115" s="1" t="s">
        <v>9</v>
      </c>
      <c r="C115" s="2">
        <v>45631</v>
      </c>
      <c r="D115" s="2" t="str">
        <f t="shared" si="3"/>
        <v>Dec</v>
      </c>
      <c r="E115" s="2" t="str">
        <f t="shared" si="4"/>
        <v>2024</v>
      </c>
      <c r="F115" s="1">
        <v>136</v>
      </c>
      <c r="G115" s="1">
        <v>74</v>
      </c>
      <c r="H115" s="1">
        <v>50</v>
      </c>
      <c r="I115" s="1">
        <v>204</v>
      </c>
      <c r="J115" s="1">
        <v>37.4</v>
      </c>
      <c r="K115" s="1">
        <v>0.39900000000000002</v>
      </c>
      <c r="L115" s="1">
        <v>24</v>
      </c>
      <c r="M115" s="1">
        <v>0</v>
      </c>
      <c r="N115" s="1" t="s">
        <v>46</v>
      </c>
      <c r="O115" s="1" t="str">
        <f t="shared" si="5"/>
        <v>Young</v>
      </c>
    </row>
    <row r="116" spans="1:15" x14ac:dyDescent="0.3">
      <c r="A116" s="1">
        <v>2822</v>
      </c>
      <c r="B116" s="1" t="s">
        <v>8</v>
      </c>
      <c r="C116" s="2">
        <v>45212</v>
      </c>
      <c r="D116" s="2" t="str">
        <f t="shared" si="3"/>
        <v>Oct</v>
      </c>
      <c r="E116" s="2" t="str">
        <f t="shared" si="4"/>
        <v>2023</v>
      </c>
      <c r="F116" s="1">
        <v>114</v>
      </c>
      <c r="G116" s="1">
        <v>65</v>
      </c>
      <c r="H116" s="1">
        <v>17</v>
      </c>
      <c r="I116" s="1">
        <v>12</v>
      </c>
      <c r="J116" s="1">
        <v>21.9</v>
      </c>
      <c r="K116" s="1">
        <v>0.432</v>
      </c>
      <c r="L116" s="1">
        <v>37</v>
      </c>
      <c r="M116" s="1">
        <v>0</v>
      </c>
      <c r="N116" s="1" t="s">
        <v>46</v>
      </c>
      <c r="O116" s="1" t="str">
        <f t="shared" si="5"/>
        <v>Middle-Aged</v>
      </c>
    </row>
    <row r="117" spans="1:15" x14ac:dyDescent="0.3">
      <c r="A117" s="1">
        <v>3912</v>
      </c>
      <c r="B117" s="1" t="s">
        <v>9</v>
      </c>
      <c r="C117" s="2">
        <v>44405</v>
      </c>
      <c r="D117" s="2" t="str">
        <f t="shared" si="3"/>
        <v>Jul</v>
      </c>
      <c r="E117" s="2" t="str">
        <f t="shared" si="4"/>
        <v>2021</v>
      </c>
      <c r="F117" s="1">
        <v>156</v>
      </c>
      <c r="G117" s="1">
        <v>86</v>
      </c>
      <c r="H117" s="1">
        <v>28</v>
      </c>
      <c r="I117" s="1">
        <v>155</v>
      </c>
      <c r="J117" s="1">
        <v>34.299999999999997</v>
      </c>
      <c r="K117" s="1">
        <v>1.1890000000000001</v>
      </c>
      <c r="L117" s="1">
        <v>42</v>
      </c>
      <c r="M117" s="1">
        <v>1</v>
      </c>
      <c r="N117" s="1" t="s">
        <v>45</v>
      </c>
      <c r="O117" s="1" t="str">
        <f t="shared" si="5"/>
        <v>Middle-Aged</v>
      </c>
    </row>
    <row r="118" spans="1:15" x14ac:dyDescent="0.3">
      <c r="A118" s="1">
        <v>4196</v>
      </c>
      <c r="B118" s="1" t="s">
        <v>9</v>
      </c>
      <c r="C118" s="2">
        <v>44979</v>
      </c>
      <c r="D118" s="2" t="str">
        <f t="shared" si="3"/>
        <v>Feb</v>
      </c>
      <c r="E118" s="2" t="str">
        <f t="shared" si="4"/>
        <v>2023</v>
      </c>
      <c r="F118" s="1">
        <v>153</v>
      </c>
      <c r="G118" s="1">
        <v>82</v>
      </c>
      <c r="H118" s="1">
        <v>42</v>
      </c>
      <c r="I118" s="1">
        <v>485</v>
      </c>
      <c r="J118" s="1">
        <v>40.6</v>
      </c>
      <c r="K118" s="1">
        <v>0.68700000000000006</v>
      </c>
      <c r="L118" s="1">
        <v>23</v>
      </c>
      <c r="M118" s="1">
        <v>0</v>
      </c>
      <c r="N118" s="1" t="s">
        <v>46</v>
      </c>
      <c r="O118" s="1" t="str">
        <f t="shared" si="5"/>
        <v>Young</v>
      </c>
    </row>
    <row r="119" spans="1:15" x14ac:dyDescent="0.3">
      <c r="A119" s="1">
        <v>2097</v>
      </c>
      <c r="B119" s="1" t="s">
        <v>8</v>
      </c>
      <c r="C119" s="2">
        <v>44337</v>
      </c>
      <c r="D119" s="2" t="str">
        <f t="shared" si="3"/>
        <v>May</v>
      </c>
      <c r="E119" s="2" t="str">
        <f t="shared" si="4"/>
        <v>2021</v>
      </c>
      <c r="F119" s="1">
        <v>188</v>
      </c>
      <c r="G119" s="1">
        <v>78</v>
      </c>
      <c r="H119" s="1">
        <v>17</v>
      </c>
      <c r="I119" s="1">
        <v>12</v>
      </c>
      <c r="J119" s="1">
        <v>47.9</v>
      </c>
      <c r="K119" s="1">
        <v>0.13700000000000001</v>
      </c>
      <c r="L119" s="1">
        <v>43</v>
      </c>
      <c r="M119" s="1">
        <v>1</v>
      </c>
      <c r="N119" s="1" t="s">
        <v>45</v>
      </c>
      <c r="O119" s="1" t="str">
        <f t="shared" si="5"/>
        <v>Middle-Aged</v>
      </c>
    </row>
    <row r="120" spans="1:15" x14ac:dyDescent="0.3">
      <c r="A120" s="1">
        <v>3521</v>
      </c>
      <c r="B120" s="1" t="s">
        <v>8</v>
      </c>
      <c r="C120" s="2">
        <v>44503</v>
      </c>
      <c r="D120" s="2" t="str">
        <f t="shared" si="3"/>
        <v>Nov</v>
      </c>
      <c r="E120" s="2" t="str">
        <f t="shared" si="4"/>
        <v>2021</v>
      </c>
      <c r="F120" s="1">
        <v>99</v>
      </c>
      <c r="G120" s="1">
        <v>52</v>
      </c>
      <c r="H120" s="1">
        <v>15</v>
      </c>
      <c r="I120" s="1">
        <v>94</v>
      </c>
      <c r="J120" s="1">
        <v>24.6</v>
      </c>
      <c r="K120" s="1">
        <v>0.63700000000000001</v>
      </c>
      <c r="L120" s="1">
        <v>21</v>
      </c>
      <c r="M120" s="1">
        <v>0</v>
      </c>
      <c r="N120" s="1" t="s">
        <v>46</v>
      </c>
      <c r="O120" s="1" t="str">
        <f t="shared" si="5"/>
        <v>Young</v>
      </c>
    </row>
    <row r="121" spans="1:15" x14ac:dyDescent="0.3">
      <c r="A121" s="1">
        <v>3891</v>
      </c>
      <c r="B121" s="1" t="s">
        <v>9</v>
      </c>
      <c r="C121" s="2">
        <v>44310</v>
      </c>
      <c r="D121" s="2" t="str">
        <f t="shared" si="3"/>
        <v>Apr</v>
      </c>
      <c r="E121" s="2" t="str">
        <f t="shared" si="4"/>
        <v>2021</v>
      </c>
      <c r="F121" s="1">
        <v>109</v>
      </c>
      <c r="G121" s="1">
        <v>56</v>
      </c>
      <c r="H121" s="1">
        <v>21</v>
      </c>
      <c r="I121" s="1">
        <v>135</v>
      </c>
      <c r="J121" s="1">
        <v>25.2</v>
      </c>
      <c r="K121" s="1">
        <v>0.83299999999999996</v>
      </c>
      <c r="L121" s="1">
        <v>23</v>
      </c>
      <c r="M121" s="1">
        <v>0</v>
      </c>
      <c r="N121" s="1" t="s">
        <v>46</v>
      </c>
      <c r="O121" s="1" t="str">
        <f t="shared" si="5"/>
        <v>Young</v>
      </c>
    </row>
    <row r="122" spans="1:15" x14ac:dyDescent="0.3">
      <c r="A122" s="1">
        <v>5261</v>
      </c>
      <c r="B122" s="1" t="s">
        <v>8</v>
      </c>
      <c r="C122" s="2">
        <v>44240</v>
      </c>
      <c r="D122" s="2" t="str">
        <f t="shared" si="3"/>
        <v>Feb</v>
      </c>
      <c r="E122" s="2" t="str">
        <f t="shared" si="4"/>
        <v>2021</v>
      </c>
      <c r="F122" s="1">
        <v>88</v>
      </c>
      <c r="G122" s="1">
        <v>74</v>
      </c>
      <c r="H122" s="1">
        <v>19</v>
      </c>
      <c r="I122" s="1">
        <v>53</v>
      </c>
      <c r="J122" s="1">
        <v>29</v>
      </c>
      <c r="K122" s="1">
        <v>0.22900000000000001</v>
      </c>
      <c r="L122" s="1">
        <v>22</v>
      </c>
      <c r="M122" s="1">
        <v>0</v>
      </c>
      <c r="N122" s="1" t="s">
        <v>46</v>
      </c>
      <c r="O122" s="1" t="str">
        <f t="shared" si="5"/>
        <v>Young</v>
      </c>
    </row>
    <row r="123" spans="1:15" x14ac:dyDescent="0.3">
      <c r="A123" s="1">
        <v>4492</v>
      </c>
      <c r="B123" s="1" t="s">
        <v>9</v>
      </c>
      <c r="C123" s="2">
        <v>45500</v>
      </c>
      <c r="D123" s="2" t="str">
        <f t="shared" si="3"/>
        <v>Jul</v>
      </c>
      <c r="E123" s="2" t="str">
        <f t="shared" si="4"/>
        <v>2024</v>
      </c>
      <c r="F123" s="1">
        <v>163</v>
      </c>
      <c r="G123" s="1">
        <v>72</v>
      </c>
      <c r="H123" s="1">
        <v>41</v>
      </c>
      <c r="I123" s="1">
        <v>114</v>
      </c>
      <c r="J123" s="1">
        <v>40.9</v>
      </c>
      <c r="K123" s="1">
        <v>0.81699999999999995</v>
      </c>
      <c r="L123" s="1">
        <v>47</v>
      </c>
      <c r="M123" s="1">
        <v>1</v>
      </c>
      <c r="N123" s="1" t="s">
        <v>45</v>
      </c>
      <c r="O123" s="1" t="str">
        <f t="shared" si="5"/>
        <v>Middle-Aged</v>
      </c>
    </row>
    <row r="124" spans="1:15" x14ac:dyDescent="0.3">
      <c r="A124" s="1">
        <v>3864</v>
      </c>
      <c r="B124" s="1" t="s">
        <v>9</v>
      </c>
      <c r="C124" s="2">
        <v>44763</v>
      </c>
      <c r="D124" s="2" t="str">
        <f t="shared" si="3"/>
        <v>Jul</v>
      </c>
      <c r="E124" s="2" t="str">
        <f t="shared" si="4"/>
        <v>2022</v>
      </c>
      <c r="F124" s="1">
        <v>102</v>
      </c>
      <c r="G124" s="1">
        <v>74</v>
      </c>
      <c r="H124" s="1">
        <v>40</v>
      </c>
      <c r="I124" s="1">
        <v>105</v>
      </c>
      <c r="J124" s="1">
        <v>37.200000000000003</v>
      </c>
      <c r="K124" s="1">
        <v>0.20399999999999999</v>
      </c>
      <c r="L124" s="1">
        <v>45</v>
      </c>
      <c r="M124" s="1">
        <v>0</v>
      </c>
      <c r="N124" s="1" t="s">
        <v>46</v>
      </c>
      <c r="O124" s="1" t="str">
        <f t="shared" si="5"/>
        <v>Middle-Aged</v>
      </c>
    </row>
    <row r="125" spans="1:15" x14ac:dyDescent="0.3">
      <c r="A125" s="1">
        <v>1870</v>
      </c>
      <c r="B125" s="1" t="s">
        <v>8</v>
      </c>
      <c r="C125" s="2">
        <v>45477</v>
      </c>
      <c r="D125" s="2" t="str">
        <f t="shared" si="3"/>
        <v>Jul</v>
      </c>
      <c r="E125" s="2" t="str">
        <f t="shared" si="4"/>
        <v>2024</v>
      </c>
      <c r="F125" s="1">
        <v>114</v>
      </c>
      <c r="G125" s="1">
        <v>80</v>
      </c>
      <c r="H125" s="1">
        <v>34</v>
      </c>
      <c r="I125" s="1">
        <v>285</v>
      </c>
      <c r="J125" s="1">
        <v>44.2</v>
      </c>
      <c r="K125" s="1">
        <v>0.16700000000000001</v>
      </c>
      <c r="L125" s="1">
        <v>27</v>
      </c>
      <c r="M125" s="1">
        <v>0</v>
      </c>
      <c r="N125" s="1" t="s">
        <v>46</v>
      </c>
      <c r="O125" s="1" t="str">
        <f t="shared" si="5"/>
        <v>Young</v>
      </c>
    </row>
    <row r="126" spans="1:15" x14ac:dyDescent="0.3">
      <c r="A126" s="1">
        <v>2217</v>
      </c>
      <c r="B126" s="1" t="s">
        <v>8</v>
      </c>
      <c r="C126" s="2">
        <v>44245</v>
      </c>
      <c r="D126" s="2" t="str">
        <f t="shared" si="3"/>
        <v>Feb</v>
      </c>
      <c r="E126" s="2" t="str">
        <f t="shared" si="4"/>
        <v>2021</v>
      </c>
      <c r="F126" s="1">
        <v>131</v>
      </c>
      <c r="G126" s="1">
        <v>88</v>
      </c>
      <c r="H126" s="1">
        <v>17</v>
      </c>
      <c r="I126" s="1">
        <v>12</v>
      </c>
      <c r="J126" s="1">
        <v>31.6</v>
      </c>
      <c r="K126" s="1">
        <v>0.74299999999999999</v>
      </c>
      <c r="L126" s="1">
        <v>32</v>
      </c>
      <c r="M126" s="1">
        <v>1</v>
      </c>
      <c r="N126" s="1" t="s">
        <v>45</v>
      </c>
      <c r="O126" s="1" t="str">
        <f t="shared" si="5"/>
        <v>Young</v>
      </c>
    </row>
    <row r="127" spans="1:15" x14ac:dyDescent="0.3">
      <c r="A127" s="1">
        <v>8675</v>
      </c>
      <c r="B127" s="1" t="s">
        <v>8</v>
      </c>
      <c r="C127" s="2">
        <v>44722</v>
      </c>
      <c r="D127" s="2" t="str">
        <f t="shared" si="3"/>
        <v>Jun</v>
      </c>
      <c r="E127" s="2" t="str">
        <f t="shared" si="4"/>
        <v>2022</v>
      </c>
      <c r="F127" s="1">
        <v>104</v>
      </c>
      <c r="G127" s="1">
        <v>74</v>
      </c>
      <c r="H127" s="1">
        <v>18</v>
      </c>
      <c r="I127" s="1">
        <v>156</v>
      </c>
      <c r="J127" s="1">
        <v>29.9</v>
      </c>
      <c r="K127" s="1">
        <v>0.72199999999999998</v>
      </c>
      <c r="L127" s="1">
        <v>41</v>
      </c>
      <c r="M127" s="1">
        <v>1</v>
      </c>
      <c r="N127" s="1" t="s">
        <v>45</v>
      </c>
      <c r="O127" s="1" t="str">
        <f t="shared" si="5"/>
        <v>Middle-Aged</v>
      </c>
    </row>
    <row r="128" spans="1:15" x14ac:dyDescent="0.3">
      <c r="A128" s="1">
        <v>8257</v>
      </c>
      <c r="B128" s="1" t="s">
        <v>8</v>
      </c>
      <c r="C128" s="2">
        <v>44596</v>
      </c>
      <c r="D128" s="2" t="str">
        <f t="shared" si="3"/>
        <v>Feb</v>
      </c>
      <c r="E128" s="2" t="str">
        <f t="shared" si="4"/>
        <v>2022</v>
      </c>
      <c r="F128" s="1">
        <v>120</v>
      </c>
      <c r="G128" s="1">
        <v>68</v>
      </c>
      <c r="H128" s="1">
        <v>17</v>
      </c>
      <c r="I128" s="1">
        <v>12</v>
      </c>
      <c r="J128" s="1">
        <v>29.6</v>
      </c>
      <c r="K128" s="1">
        <v>0.70899999999999996</v>
      </c>
      <c r="L128" s="1">
        <v>34</v>
      </c>
      <c r="M128" s="1">
        <v>0</v>
      </c>
      <c r="N128" s="1" t="s">
        <v>46</v>
      </c>
      <c r="O128" s="1" t="str">
        <f t="shared" si="5"/>
        <v>Young</v>
      </c>
    </row>
    <row r="129" spans="1:15" x14ac:dyDescent="0.3">
      <c r="A129" s="1">
        <v>9911</v>
      </c>
      <c r="B129" s="1" t="s">
        <v>8</v>
      </c>
      <c r="C129" s="2">
        <v>44663</v>
      </c>
      <c r="D129" s="2" t="str">
        <f t="shared" si="3"/>
        <v>Apr</v>
      </c>
      <c r="E129" s="2" t="str">
        <f t="shared" si="4"/>
        <v>2022</v>
      </c>
      <c r="F129" s="1">
        <v>110</v>
      </c>
      <c r="G129" s="1">
        <v>66</v>
      </c>
      <c r="H129" s="1">
        <v>22</v>
      </c>
      <c r="I129" s="1">
        <v>12</v>
      </c>
      <c r="J129" s="1">
        <v>31.9</v>
      </c>
      <c r="K129" s="1">
        <v>0.47099999999999997</v>
      </c>
      <c r="L129" s="1">
        <v>29</v>
      </c>
      <c r="M129" s="1">
        <v>0</v>
      </c>
      <c r="N129" s="1" t="s">
        <v>46</v>
      </c>
      <c r="O129" s="1" t="str">
        <f t="shared" si="5"/>
        <v>Young</v>
      </c>
    </row>
    <row r="130" spans="1:15" x14ac:dyDescent="0.3">
      <c r="A130" s="1">
        <v>4535</v>
      </c>
      <c r="B130" s="1" t="s">
        <v>9</v>
      </c>
      <c r="C130" s="2">
        <v>44539</v>
      </c>
      <c r="D130" s="2" t="str">
        <f t="shared" si="3"/>
        <v>Dec</v>
      </c>
      <c r="E130" s="2" t="str">
        <f t="shared" si="4"/>
        <v>2021</v>
      </c>
      <c r="F130" s="1">
        <v>111</v>
      </c>
      <c r="G130" s="1">
        <v>90</v>
      </c>
      <c r="H130" s="1">
        <v>12</v>
      </c>
      <c r="I130" s="1">
        <v>78</v>
      </c>
      <c r="J130" s="1">
        <v>28.4</v>
      </c>
      <c r="K130" s="1">
        <v>0.495</v>
      </c>
      <c r="L130" s="1">
        <v>29</v>
      </c>
      <c r="M130" s="1">
        <v>0</v>
      </c>
      <c r="N130" s="1" t="s">
        <v>46</v>
      </c>
      <c r="O130" s="1" t="str">
        <f t="shared" si="5"/>
        <v>Young</v>
      </c>
    </row>
    <row r="131" spans="1:15" x14ac:dyDescent="0.3">
      <c r="A131" s="1">
        <v>4653</v>
      </c>
      <c r="B131" s="1" t="s">
        <v>8</v>
      </c>
      <c r="C131" s="2">
        <v>45582</v>
      </c>
      <c r="D131" s="2" t="str">
        <f t="shared" ref="D131:D194" si="6">TEXT(C131,"MMM")</f>
        <v>Oct</v>
      </c>
      <c r="E131" s="2" t="str">
        <f t="shared" ref="E131:E194" si="7">TEXT(C131,"YYY")</f>
        <v>2024</v>
      </c>
      <c r="F131" s="1">
        <v>102</v>
      </c>
      <c r="G131" s="1">
        <v>82</v>
      </c>
      <c r="H131" s="1">
        <v>22</v>
      </c>
      <c r="I131" s="1">
        <v>12</v>
      </c>
      <c r="J131" s="1">
        <v>30.8</v>
      </c>
      <c r="K131" s="1">
        <v>0.18</v>
      </c>
      <c r="L131" s="1">
        <v>36</v>
      </c>
      <c r="M131" s="1">
        <v>1</v>
      </c>
      <c r="N131" s="1" t="s">
        <v>45</v>
      </c>
      <c r="O131" s="1" t="str">
        <f t="shared" ref="O131:O194" si="8">IF(L131&lt;=35,"Young",IF(L131&lt;=50,"Middle-Aged",IF(L131&lt;=65,"Old","Very Old")))</f>
        <v>Middle-Aged</v>
      </c>
    </row>
    <row r="132" spans="1:15" x14ac:dyDescent="0.3">
      <c r="A132" s="1">
        <v>8206</v>
      </c>
      <c r="B132" s="1" t="s">
        <v>8</v>
      </c>
      <c r="C132" s="2">
        <v>44222</v>
      </c>
      <c r="D132" s="2" t="str">
        <f t="shared" si="6"/>
        <v>Jan</v>
      </c>
      <c r="E132" s="2" t="str">
        <f t="shared" si="7"/>
        <v>2021</v>
      </c>
      <c r="F132" s="1">
        <v>134</v>
      </c>
      <c r="G132" s="1">
        <v>70</v>
      </c>
      <c r="H132" s="1">
        <v>23</v>
      </c>
      <c r="I132" s="1">
        <v>130</v>
      </c>
      <c r="J132" s="1">
        <v>35.4</v>
      </c>
      <c r="K132" s="1">
        <v>0.54200000000000004</v>
      </c>
      <c r="L132" s="1">
        <v>29</v>
      </c>
      <c r="M132" s="1">
        <v>1</v>
      </c>
      <c r="N132" s="1" t="s">
        <v>45</v>
      </c>
      <c r="O132" s="1" t="str">
        <f t="shared" si="8"/>
        <v>Young</v>
      </c>
    </row>
    <row r="133" spans="1:15" x14ac:dyDescent="0.3">
      <c r="A133" s="1">
        <v>9180</v>
      </c>
      <c r="B133" s="1" t="s">
        <v>9</v>
      </c>
      <c r="C133" s="2">
        <v>45100</v>
      </c>
      <c r="D133" s="2" t="str">
        <f t="shared" si="6"/>
        <v>Jun</v>
      </c>
      <c r="E133" s="2" t="str">
        <f t="shared" si="7"/>
        <v>2023</v>
      </c>
      <c r="F133" s="1">
        <v>79</v>
      </c>
      <c r="G133" s="1">
        <v>60</v>
      </c>
      <c r="H133" s="1">
        <v>42</v>
      </c>
      <c r="I133" s="1">
        <v>48</v>
      </c>
      <c r="J133" s="1">
        <v>43.5</v>
      </c>
      <c r="K133" s="1">
        <v>0.67800000000000005</v>
      </c>
      <c r="L133" s="1">
        <v>23</v>
      </c>
      <c r="M133" s="1">
        <v>0</v>
      </c>
      <c r="N133" s="1" t="s">
        <v>46</v>
      </c>
      <c r="O133" s="1" t="str">
        <f t="shared" si="8"/>
        <v>Young</v>
      </c>
    </row>
    <row r="134" spans="1:15" x14ac:dyDescent="0.3">
      <c r="A134" s="1">
        <v>6670</v>
      </c>
      <c r="B134" s="1" t="s">
        <v>8</v>
      </c>
      <c r="C134" s="2">
        <v>44571</v>
      </c>
      <c r="D134" s="2" t="str">
        <f t="shared" si="6"/>
        <v>Jan</v>
      </c>
      <c r="E134" s="2" t="str">
        <f t="shared" si="7"/>
        <v>2022</v>
      </c>
      <c r="F134" s="1">
        <v>75</v>
      </c>
      <c r="G134" s="1">
        <v>64</v>
      </c>
      <c r="H134" s="1">
        <v>24</v>
      </c>
      <c r="I134" s="1">
        <v>55</v>
      </c>
      <c r="J134" s="1">
        <v>29.7</v>
      </c>
      <c r="K134" s="1">
        <v>0.37</v>
      </c>
      <c r="L134" s="1">
        <v>33</v>
      </c>
      <c r="M134" s="1">
        <v>0</v>
      </c>
      <c r="N134" s="1" t="s">
        <v>46</v>
      </c>
      <c r="O134" s="1" t="str">
        <f t="shared" si="8"/>
        <v>Young</v>
      </c>
    </row>
    <row r="135" spans="1:15" x14ac:dyDescent="0.3">
      <c r="A135" s="1">
        <v>9735</v>
      </c>
      <c r="B135" s="1" t="s">
        <v>8</v>
      </c>
      <c r="C135" s="2">
        <v>45256</v>
      </c>
      <c r="D135" s="2" t="str">
        <f t="shared" si="6"/>
        <v>Nov</v>
      </c>
      <c r="E135" s="2" t="str">
        <f t="shared" si="7"/>
        <v>2023</v>
      </c>
      <c r="F135" s="1">
        <v>179</v>
      </c>
      <c r="G135" s="1">
        <v>72</v>
      </c>
      <c r="H135" s="1">
        <v>42</v>
      </c>
      <c r="I135" s="1">
        <v>130</v>
      </c>
      <c r="J135" s="1">
        <v>32.700000000000003</v>
      </c>
      <c r="K135" s="1">
        <v>0.71899999999999997</v>
      </c>
      <c r="L135" s="1">
        <v>36</v>
      </c>
      <c r="M135" s="1">
        <v>1</v>
      </c>
      <c r="N135" s="1" t="s">
        <v>45</v>
      </c>
      <c r="O135" s="1" t="str">
        <f t="shared" si="8"/>
        <v>Middle-Aged</v>
      </c>
    </row>
    <row r="136" spans="1:15" x14ac:dyDescent="0.3">
      <c r="A136" s="1">
        <v>1158</v>
      </c>
      <c r="B136" s="1" t="s">
        <v>8</v>
      </c>
      <c r="C136" s="2">
        <v>44670</v>
      </c>
      <c r="D136" s="2" t="str">
        <f t="shared" si="6"/>
        <v>Apr</v>
      </c>
      <c r="E136" s="2" t="str">
        <f t="shared" si="7"/>
        <v>2022</v>
      </c>
      <c r="F136" s="1">
        <v>85</v>
      </c>
      <c r="G136" s="1">
        <v>78</v>
      </c>
      <c r="H136" s="1">
        <v>22</v>
      </c>
      <c r="I136" s="1">
        <v>12</v>
      </c>
      <c r="J136" s="1">
        <v>31.2</v>
      </c>
      <c r="K136" s="1">
        <v>0.38200000000000001</v>
      </c>
      <c r="L136" s="1">
        <v>42</v>
      </c>
      <c r="M136" s="1">
        <v>0</v>
      </c>
      <c r="N136" s="1" t="s">
        <v>46</v>
      </c>
      <c r="O136" s="1" t="str">
        <f t="shared" si="8"/>
        <v>Middle-Aged</v>
      </c>
    </row>
    <row r="137" spans="1:15" x14ac:dyDescent="0.3">
      <c r="A137" s="1">
        <v>6324</v>
      </c>
      <c r="B137" s="1" t="s">
        <v>8</v>
      </c>
      <c r="C137" s="2">
        <v>44335</v>
      </c>
      <c r="D137" s="2" t="str">
        <f t="shared" si="6"/>
        <v>May</v>
      </c>
      <c r="E137" s="2" t="str">
        <f t="shared" si="7"/>
        <v>2021</v>
      </c>
      <c r="F137" s="1">
        <v>129</v>
      </c>
      <c r="G137" s="1">
        <v>110</v>
      </c>
      <c r="H137" s="1">
        <v>46</v>
      </c>
      <c r="I137" s="1">
        <v>130</v>
      </c>
      <c r="J137" s="1">
        <v>67.099999999999994</v>
      </c>
      <c r="K137" s="1">
        <v>0.31900000000000001</v>
      </c>
      <c r="L137" s="1">
        <v>26</v>
      </c>
      <c r="M137" s="1">
        <v>1</v>
      </c>
      <c r="N137" s="1" t="s">
        <v>45</v>
      </c>
      <c r="O137" s="1" t="str">
        <f t="shared" si="8"/>
        <v>Young</v>
      </c>
    </row>
    <row r="138" spans="1:15" x14ac:dyDescent="0.3">
      <c r="A138" s="1">
        <v>2834</v>
      </c>
      <c r="B138" s="1" t="s">
        <v>9</v>
      </c>
      <c r="C138" s="2">
        <v>45298</v>
      </c>
      <c r="D138" s="2" t="str">
        <f t="shared" si="6"/>
        <v>Jan</v>
      </c>
      <c r="E138" s="2" t="str">
        <f t="shared" si="7"/>
        <v>2024</v>
      </c>
      <c r="F138" s="1">
        <v>143</v>
      </c>
      <c r="G138" s="1">
        <v>78</v>
      </c>
      <c r="H138" s="1">
        <v>22</v>
      </c>
      <c r="I138" s="1">
        <v>12</v>
      </c>
      <c r="J138" s="1">
        <v>45</v>
      </c>
      <c r="K138" s="1">
        <v>0.19</v>
      </c>
      <c r="L138" s="1">
        <v>47</v>
      </c>
      <c r="M138" s="1">
        <v>0</v>
      </c>
      <c r="N138" s="1" t="s">
        <v>46</v>
      </c>
      <c r="O138" s="1" t="str">
        <f t="shared" si="8"/>
        <v>Middle-Aged</v>
      </c>
    </row>
    <row r="139" spans="1:15" x14ac:dyDescent="0.3">
      <c r="A139" s="1">
        <v>6744</v>
      </c>
      <c r="B139" s="1" t="s">
        <v>9</v>
      </c>
      <c r="C139" s="2">
        <v>44775</v>
      </c>
      <c r="D139" s="2" t="str">
        <f t="shared" si="6"/>
        <v>Aug</v>
      </c>
      <c r="E139" s="2" t="str">
        <f t="shared" si="7"/>
        <v>2022</v>
      </c>
      <c r="F139" s="1">
        <v>130</v>
      </c>
      <c r="G139" s="1">
        <v>82</v>
      </c>
      <c r="H139" s="1">
        <v>22</v>
      </c>
      <c r="I139" s="1">
        <v>12</v>
      </c>
      <c r="J139" s="1">
        <v>39.1</v>
      </c>
      <c r="K139" s="1">
        <v>0.95599999999999996</v>
      </c>
      <c r="L139" s="1">
        <v>37</v>
      </c>
      <c r="M139" s="1">
        <v>1</v>
      </c>
      <c r="N139" s="1" t="s">
        <v>45</v>
      </c>
      <c r="O139" s="1" t="str">
        <f t="shared" si="8"/>
        <v>Middle-Aged</v>
      </c>
    </row>
    <row r="140" spans="1:15" x14ac:dyDescent="0.3">
      <c r="A140" s="1">
        <v>1643</v>
      </c>
      <c r="B140" s="1" t="s">
        <v>8</v>
      </c>
      <c r="C140" s="2">
        <v>44325</v>
      </c>
      <c r="D140" s="2" t="str">
        <f t="shared" si="6"/>
        <v>May</v>
      </c>
      <c r="E140" s="2" t="str">
        <f t="shared" si="7"/>
        <v>2021</v>
      </c>
      <c r="F140" s="1">
        <v>87</v>
      </c>
      <c r="G140" s="1">
        <v>80</v>
      </c>
      <c r="H140" s="1">
        <v>22</v>
      </c>
      <c r="I140" s="1">
        <v>12</v>
      </c>
      <c r="J140" s="1">
        <v>23.2</v>
      </c>
      <c r="K140" s="1">
        <v>8.4000000000000005E-2</v>
      </c>
      <c r="L140" s="1">
        <v>32</v>
      </c>
      <c r="M140" s="1">
        <v>0</v>
      </c>
      <c r="N140" s="1" t="s">
        <v>46</v>
      </c>
      <c r="O140" s="1" t="str">
        <f t="shared" si="8"/>
        <v>Young</v>
      </c>
    </row>
    <row r="141" spans="1:15" x14ac:dyDescent="0.3">
      <c r="A141" s="1">
        <v>9839</v>
      </c>
      <c r="B141" s="1" t="s">
        <v>8</v>
      </c>
      <c r="C141" s="2">
        <v>44199</v>
      </c>
      <c r="D141" s="2" t="str">
        <f t="shared" si="6"/>
        <v>Jan</v>
      </c>
      <c r="E141" s="2" t="str">
        <f t="shared" si="7"/>
        <v>2021</v>
      </c>
      <c r="F141" s="1">
        <v>119</v>
      </c>
      <c r="G141" s="1">
        <v>64</v>
      </c>
      <c r="H141" s="1">
        <v>18</v>
      </c>
      <c r="I141" s="1">
        <v>92</v>
      </c>
      <c r="J141" s="1">
        <v>34.9</v>
      </c>
      <c r="K141" s="1">
        <v>0.72499999999999998</v>
      </c>
      <c r="L141" s="1">
        <v>23</v>
      </c>
      <c r="M141" s="1">
        <v>0</v>
      </c>
      <c r="N141" s="1" t="s">
        <v>46</v>
      </c>
      <c r="O141" s="1" t="str">
        <f t="shared" si="8"/>
        <v>Young</v>
      </c>
    </row>
    <row r="142" spans="1:15" x14ac:dyDescent="0.3">
      <c r="A142" s="1">
        <v>5978</v>
      </c>
      <c r="B142" s="1" t="s">
        <v>9</v>
      </c>
      <c r="C142" s="2">
        <v>44800</v>
      </c>
      <c r="D142" s="2" t="str">
        <f t="shared" si="6"/>
        <v>Aug</v>
      </c>
      <c r="E142" s="2" t="str">
        <f t="shared" si="7"/>
        <v>2022</v>
      </c>
      <c r="F142" s="1">
        <v>73</v>
      </c>
      <c r="G142" s="1">
        <v>60</v>
      </c>
      <c r="H142" s="1">
        <v>22</v>
      </c>
      <c r="I142" s="1">
        <v>12</v>
      </c>
      <c r="J142" s="1">
        <v>26.8</v>
      </c>
      <c r="K142" s="1">
        <v>0.26800000000000002</v>
      </c>
      <c r="L142" s="1">
        <v>27</v>
      </c>
      <c r="M142" s="1">
        <v>0</v>
      </c>
      <c r="N142" s="1" t="s">
        <v>46</v>
      </c>
      <c r="O142" s="1" t="str">
        <f t="shared" si="8"/>
        <v>Young</v>
      </c>
    </row>
    <row r="143" spans="1:15" x14ac:dyDescent="0.3">
      <c r="A143" s="1">
        <v>7433</v>
      </c>
      <c r="B143" s="1" t="s">
        <v>8</v>
      </c>
      <c r="C143" s="2">
        <v>45581</v>
      </c>
      <c r="D143" s="2" t="str">
        <f t="shared" si="6"/>
        <v>Oct</v>
      </c>
      <c r="E143" s="2" t="str">
        <f t="shared" si="7"/>
        <v>2024</v>
      </c>
      <c r="F143" s="1">
        <v>141</v>
      </c>
      <c r="G143" s="1">
        <v>74</v>
      </c>
      <c r="H143" s="1">
        <v>22</v>
      </c>
      <c r="I143" s="1">
        <v>12</v>
      </c>
      <c r="J143" s="1">
        <v>27.6</v>
      </c>
      <c r="K143" s="1">
        <v>0.24399999999999999</v>
      </c>
      <c r="L143" s="1">
        <v>40</v>
      </c>
      <c r="M143" s="1">
        <v>0</v>
      </c>
      <c r="N143" s="1" t="s">
        <v>46</v>
      </c>
      <c r="O143" s="1" t="str">
        <f t="shared" si="8"/>
        <v>Middle-Aged</v>
      </c>
    </row>
    <row r="144" spans="1:15" x14ac:dyDescent="0.3">
      <c r="A144" s="1">
        <v>9283</v>
      </c>
      <c r="B144" s="1" t="s">
        <v>8</v>
      </c>
      <c r="C144" s="2">
        <v>45633</v>
      </c>
      <c r="D144" s="2" t="str">
        <f t="shared" si="6"/>
        <v>Dec</v>
      </c>
      <c r="E144" s="2" t="str">
        <f t="shared" si="7"/>
        <v>2024</v>
      </c>
      <c r="F144" s="1">
        <v>181</v>
      </c>
      <c r="G144" s="1">
        <v>68</v>
      </c>
      <c r="H144" s="1">
        <v>36</v>
      </c>
      <c r="I144" s="1">
        <v>495</v>
      </c>
      <c r="J144" s="1">
        <v>30.1</v>
      </c>
      <c r="K144" s="1">
        <v>0.61499999999999999</v>
      </c>
      <c r="L144" s="1">
        <v>60</v>
      </c>
      <c r="M144" s="1">
        <v>1</v>
      </c>
      <c r="N144" s="1" t="s">
        <v>45</v>
      </c>
      <c r="O144" s="1" t="str">
        <f t="shared" si="8"/>
        <v>Old</v>
      </c>
    </row>
    <row r="145" spans="1:15" x14ac:dyDescent="0.3">
      <c r="A145" s="1">
        <v>9726</v>
      </c>
      <c r="B145" s="1" t="s">
        <v>9</v>
      </c>
      <c r="C145" s="2">
        <v>45144</v>
      </c>
      <c r="D145" s="2" t="str">
        <f t="shared" si="6"/>
        <v>Aug</v>
      </c>
      <c r="E145" s="2" t="str">
        <f t="shared" si="7"/>
        <v>2023</v>
      </c>
      <c r="F145" s="1">
        <v>128</v>
      </c>
      <c r="G145" s="1">
        <v>98</v>
      </c>
      <c r="H145" s="1">
        <v>41</v>
      </c>
      <c r="I145" s="1">
        <v>58</v>
      </c>
      <c r="J145" s="1">
        <v>32</v>
      </c>
      <c r="K145" s="1">
        <v>1.321</v>
      </c>
      <c r="L145" s="1">
        <v>33</v>
      </c>
      <c r="M145" s="1">
        <v>1</v>
      </c>
      <c r="N145" s="1" t="s">
        <v>45</v>
      </c>
      <c r="O145" s="1" t="str">
        <f t="shared" si="8"/>
        <v>Young</v>
      </c>
    </row>
    <row r="146" spans="1:15" x14ac:dyDescent="0.3">
      <c r="A146" s="1">
        <v>3969</v>
      </c>
      <c r="B146" s="1" t="s">
        <v>8</v>
      </c>
      <c r="C146" s="2">
        <v>44740</v>
      </c>
      <c r="D146" s="2" t="str">
        <f t="shared" si="6"/>
        <v>Jun</v>
      </c>
      <c r="E146" s="2" t="str">
        <f t="shared" si="7"/>
        <v>2022</v>
      </c>
      <c r="F146" s="1">
        <v>109</v>
      </c>
      <c r="G146" s="1">
        <v>76</v>
      </c>
      <c r="H146" s="1">
        <v>39</v>
      </c>
      <c r="I146" s="1">
        <v>114</v>
      </c>
      <c r="J146" s="1">
        <v>27.9</v>
      </c>
      <c r="K146" s="1">
        <v>0.64</v>
      </c>
      <c r="L146" s="1">
        <v>31</v>
      </c>
      <c r="M146" s="1">
        <v>1</v>
      </c>
      <c r="N146" s="1" t="s">
        <v>45</v>
      </c>
      <c r="O146" s="1" t="str">
        <f t="shared" si="8"/>
        <v>Young</v>
      </c>
    </row>
    <row r="147" spans="1:15" x14ac:dyDescent="0.3">
      <c r="A147" s="1">
        <v>1065</v>
      </c>
      <c r="B147" s="1" t="s">
        <v>9</v>
      </c>
      <c r="C147" s="2">
        <v>44616</v>
      </c>
      <c r="D147" s="2" t="str">
        <f t="shared" si="6"/>
        <v>Feb</v>
      </c>
      <c r="E147" s="2" t="str">
        <f t="shared" si="7"/>
        <v>2022</v>
      </c>
      <c r="F147" s="1">
        <v>139</v>
      </c>
      <c r="G147" s="1">
        <v>80</v>
      </c>
      <c r="H147" s="1">
        <v>35</v>
      </c>
      <c r="I147" s="1">
        <v>160</v>
      </c>
      <c r="J147" s="1">
        <v>31.6</v>
      </c>
      <c r="K147" s="1">
        <v>0.36099999999999999</v>
      </c>
      <c r="L147" s="1">
        <v>25</v>
      </c>
      <c r="M147" s="1">
        <v>1</v>
      </c>
      <c r="N147" s="1" t="s">
        <v>45</v>
      </c>
      <c r="O147" s="1" t="str">
        <f t="shared" si="8"/>
        <v>Young</v>
      </c>
    </row>
    <row r="148" spans="1:15" x14ac:dyDescent="0.3">
      <c r="A148" s="1">
        <v>4733</v>
      </c>
      <c r="B148" s="1" t="s">
        <v>9</v>
      </c>
      <c r="C148" s="2">
        <v>44299</v>
      </c>
      <c r="D148" s="2" t="str">
        <f t="shared" si="6"/>
        <v>Apr</v>
      </c>
      <c r="E148" s="2" t="str">
        <f t="shared" si="7"/>
        <v>2021</v>
      </c>
      <c r="F148" s="1">
        <v>111</v>
      </c>
      <c r="G148" s="1">
        <v>62</v>
      </c>
      <c r="H148" s="1">
        <v>22</v>
      </c>
      <c r="I148" s="1">
        <v>12</v>
      </c>
      <c r="J148" s="1">
        <v>22.6</v>
      </c>
      <c r="K148" s="1">
        <v>0.14199999999999999</v>
      </c>
      <c r="L148" s="1">
        <v>21</v>
      </c>
      <c r="M148" s="1">
        <v>0</v>
      </c>
      <c r="N148" s="1" t="s">
        <v>46</v>
      </c>
      <c r="O148" s="1" t="str">
        <f t="shared" si="8"/>
        <v>Young</v>
      </c>
    </row>
    <row r="149" spans="1:15" x14ac:dyDescent="0.3">
      <c r="A149" s="1">
        <v>5209</v>
      </c>
      <c r="B149" s="1" t="s">
        <v>9</v>
      </c>
      <c r="C149" s="2">
        <v>44989</v>
      </c>
      <c r="D149" s="2" t="str">
        <f t="shared" si="6"/>
        <v>Mar</v>
      </c>
      <c r="E149" s="2" t="str">
        <f t="shared" si="7"/>
        <v>2023</v>
      </c>
      <c r="F149" s="1">
        <v>123</v>
      </c>
      <c r="G149" s="1">
        <v>70</v>
      </c>
      <c r="H149" s="1">
        <v>44</v>
      </c>
      <c r="I149" s="1">
        <v>94</v>
      </c>
      <c r="J149" s="1">
        <v>33.1</v>
      </c>
      <c r="K149" s="1">
        <v>0.374</v>
      </c>
      <c r="L149" s="1">
        <v>40</v>
      </c>
      <c r="M149" s="1">
        <v>0</v>
      </c>
      <c r="N149" s="1" t="s">
        <v>46</v>
      </c>
      <c r="O149" s="1" t="str">
        <f t="shared" si="8"/>
        <v>Middle-Aged</v>
      </c>
    </row>
    <row r="150" spans="1:15" x14ac:dyDescent="0.3">
      <c r="A150" s="1">
        <v>3596</v>
      </c>
      <c r="B150" s="1" t="s">
        <v>9</v>
      </c>
      <c r="C150" s="2">
        <v>44889</v>
      </c>
      <c r="D150" s="2" t="str">
        <f t="shared" si="6"/>
        <v>Nov</v>
      </c>
      <c r="E150" s="2" t="str">
        <f t="shared" si="7"/>
        <v>2022</v>
      </c>
      <c r="F150" s="1">
        <v>159</v>
      </c>
      <c r="G150" s="1">
        <v>66</v>
      </c>
      <c r="H150" s="1">
        <v>22</v>
      </c>
      <c r="I150" s="1">
        <v>12</v>
      </c>
      <c r="J150" s="1">
        <v>30.4</v>
      </c>
      <c r="K150" s="1">
        <v>0.38300000000000001</v>
      </c>
      <c r="L150" s="1">
        <v>36</v>
      </c>
      <c r="M150" s="1">
        <v>1</v>
      </c>
      <c r="N150" s="1" t="s">
        <v>45</v>
      </c>
      <c r="O150" s="1" t="str">
        <f t="shared" si="8"/>
        <v>Middle-Aged</v>
      </c>
    </row>
    <row r="151" spans="1:15" x14ac:dyDescent="0.3">
      <c r="A151" s="1">
        <v>6958</v>
      </c>
      <c r="B151" s="1" t="s">
        <v>9</v>
      </c>
      <c r="C151" s="2">
        <v>45076</v>
      </c>
      <c r="D151" s="2" t="str">
        <f t="shared" si="6"/>
        <v>May</v>
      </c>
      <c r="E151" s="2" t="str">
        <f t="shared" si="7"/>
        <v>2023</v>
      </c>
      <c r="F151" s="1">
        <v>158</v>
      </c>
      <c r="G151" s="1">
        <v>84</v>
      </c>
      <c r="H151" s="1">
        <v>41</v>
      </c>
      <c r="I151" s="1">
        <v>210</v>
      </c>
      <c r="J151" s="1">
        <v>39.4</v>
      </c>
      <c r="K151" s="1">
        <v>0.39500000000000002</v>
      </c>
      <c r="L151" s="1">
        <v>29</v>
      </c>
      <c r="M151" s="1">
        <v>1</v>
      </c>
      <c r="N151" s="1" t="s">
        <v>45</v>
      </c>
      <c r="O151" s="1" t="str">
        <f t="shared" si="8"/>
        <v>Young</v>
      </c>
    </row>
    <row r="152" spans="1:15" x14ac:dyDescent="0.3">
      <c r="A152" s="1">
        <v>9796</v>
      </c>
      <c r="B152" s="1" t="s">
        <v>9</v>
      </c>
      <c r="C152" s="2">
        <v>45286</v>
      </c>
      <c r="D152" s="2" t="str">
        <f t="shared" si="6"/>
        <v>Dec</v>
      </c>
      <c r="E152" s="2" t="str">
        <f t="shared" si="7"/>
        <v>2023</v>
      </c>
      <c r="F152" s="1">
        <v>105</v>
      </c>
      <c r="G152" s="1">
        <v>58</v>
      </c>
      <c r="H152" s="1">
        <v>22</v>
      </c>
      <c r="I152" s="1">
        <v>12</v>
      </c>
      <c r="J152" s="1">
        <v>24.3</v>
      </c>
      <c r="K152" s="1">
        <v>0.187</v>
      </c>
      <c r="L152" s="1">
        <v>21</v>
      </c>
      <c r="M152" s="1">
        <v>0</v>
      </c>
      <c r="N152" s="1" t="s">
        <v>46</v>
      </c>
      <c r="O152" s="1" t="str">
        <f t="shared" si="8"/>
        <v>Young</v>
      </c>
    </row>
    <row r="153" spans="1:15" x14ac:dyDescent="0.3">
      <c r="A153" s="1">
        <v>8238</v>
      </c>
      <c r="B153" s="1" t="s">
        <v>9</v>
      </c>
      <c r="C153" s="2">
        <v>45513</v>
      </c>
      <c r="D153" s="2" t="str">
        <f t="shared" si="6"/>
        <v>Aug</v>
      </c>
      <c r="E153" s="2" t="str">
        <f t="shared" si="7"/>
        <v>2024</v>
      </c>
      <c r="F153" s="1">
        <v>107</v>
      </c>
      <c r="G153" s="1">
        <v>62</v>
      </c>
      <c r="H153" s="1">
        <v>13</v>
      </c>
      <c r="I153" s="1">
        <v>48</v>
      </c>
      <c r="J153" s="1">
        <v>22.9</v>
      </c>
      <c r="K153" s="1">
        <v>0.67800000000000005</v>
      </c>
      <c r="L153" s="1">
        <v>23</v>
      </c>
      <c r="M153" s="1">
        <v>1</v>
      </c>
      <c r="N153" s="1" t="s">
        <v>45</v>
      </c>
      <c r="O153" s="1" t="str">
        <f t="shared" si="8"/>
        <v>Young</v>
      </c>
    </row>
    <row r="154" spans="1:15" x14ac:dyDescent="0.3">
      <c r="A154" s="1">
        <v>1841</v>
      </c>
      <c r="B154" s="1" t="s">
        <v>8</v>
      </c>
      <c r="C154" s="2">
        <v>45069</v>
      </c>
      <c r="D154" s="2" t="str">
        <f t="shared" si="6"/>
        <v>May</v>
      </c>
      <c r="E154" s="2" t="str">
        <f t="shared" si="7"/>
        <v>2023</v>
      </c>
      <c r="F154" s="1">
        <v>109</v>
      </c>
      <c r="G154" s="1">
        <v>64</v>
      </c>
      <c r="H154" s="1">
        <v>44</v>
      </c>
      <c r="I154" s="1">
        <v>99</v>
      </c>
      <c r="J154" s="1">
        <v>34.799999999999997</v>
      </c>
      <c r="K154" s="1">
        <v>0.90500000000000003</v>
      </c>
      <c r="L154" s="1">
        <v>26</v>
      </c>
      <c r="M154" s="1">
        <v>1</v>
      </c>
      <c r="N154" s="1" t="s">
        <v>45</v>
      </c>
      <c r="O154" s="1" t="str">
        <f t="shared" si="8"/>
        <v>Young</v>
      </c>
    </row>
    <row r="155" spans="1:15" x14ac:dyDescent="0.3">
      <c r="A155" s="1">
        <v>7351</v>
      </c>
      <c r="B155" s="1" t="s">
        <v>8</v>
      </c>
      <c r="C155" s="2">
        <v>44388</v>
      </c>
      <c r="D155" s="2" t="str">
        <f t="shared" si="6"/>
        <v>Jul</v>
      </c>
      <c r="E155" s="2" t="str">
        <f t="shared" si="7"/>
        <v>2021</v>
      </c>
      <c r="F155" s="1">
        <v>148</v>
      </c>
      <c r="G155" s="1">
        <v>60</v>
      </c>
      <c r="H155" s="1">
        <v>27</v>
      </c>
      <c r="I155" s="1">
        <v>318</v>
      </c>
      <c r="J155" s="1">
        <v>30.9</v>
      </c>
      <c r="K155" s="1">
        <v>0.15</v>
      </c>
      <c r="L155" s="1">
        <v>29</v>
      </c>
      <c r="M155" s="1">
        <v>1</v>
      </c>
      <c r="N155" s="1" t="s">
        <v>45</v>
      </c>
      <c r="O155" s="1" t="str">
        <f t="shared" si="8"/>
        <v>Young</v>
      </c>
    </row>
    <row r="156" spans="1:15" x14ac:dyDescent="0.3">
      <c r="A156" s="1">
        <v>3428</v>
      </c>
      <c r="B156" s="1" t="s">
        <v>9</v>
      </c>
      <c r="C156" s="2">
        <v>45047</v>
      </c>
      <c r="D156" s="2" t="str">
        <f t="shared" si="6"/>
        <v>May</v>
      </c>
      <c r="E156" s="2" t="str">
        <f t="shared" si="7"/>
        <v>2023</v>
      </c>
      <c r="F156" s="1">
        <v>138</v>
      </c>
      <c r="G156" s="1">
        <v>82</v>
      </c>
      <c r="H156" s="1">
        <v>22</v>
      </c>
      <c r="I156" s="1">
        <v>12</v>
      </c>
      <c r="J156" s="1">
        <v>40.1</v>
      </c>
      <c r="K156" s="1">
        <v>0.23599999999999999</v>
      </c>
      <c r="L156" s="1">
        <v>28</v>
      </c>
      <c r="M156" s="1">
        <v>0</v>
      </c>
      <c r="N156" s="1" t="s">
        <v>46</v>
      </c>
      <c r="O156" s="1" t="str">
        <f t="shared" si="8"/>
        <v>Young</v>
      </c>
    </row>
    <row r="157" spans="1:15" x14ac:dyDescent="0.3">
      <c r="A157" s="1">
        <v>8001</v>
      </c>
      <c r="B157" s="1" t="s">
        <v>8</v>
      </c>
      <c r="C157" s="2">
        <v>44262</v>
      </c>
      <c r="D157" s="2" t="str">
        <f t="shared" si="6"/>
        <v>Mar</v>
      </c>
      <c r="E157" s="2" t="str">
        <f t="shared" si="7"/>
        <v>2021</v>
      </c>
      <c r="F157" s="1">
        <v>99</v>
      </c>
      <c r="G157" s="1">
        <v>70</v>
      </c>
      <c r="H157" s="1">
        <v>16</v>
      </c>
      <c r="I157" s="1">
        <v>44</v>
      </c>
      <c r="J157" s="1">
        <v>20.399999999999999</v>
      </c>
      <c r="K157" s="1">
        <v>0.23499999999999999</v>
      </c>
      <c r="L157" s="1">
        <v>27</v>
      </c>
      <c r="M157" s="1">
        <v>0</v>
      </c>
      <c r="N157" s="1" t="s">
        <v>46</v>
      </c>
      <c r="O157" s="1" t="str">
        <f t="shared" si="8"/>
        <v>Young</v>
      </c>
    </row>
    <row r="158" spans="1:15" x14ac:dyDescent="0.3">
      <c r="A158" s="1">
        <v>3253</v>
      </c>
      <c r="B158" s="1" t="s">
        <v>8</v>
      </c>
      <c r="C158" s="2">
        <v>45039</v>
      </c>
      <c r="D158" s="2" t="str">
        <f t="shared" si="6"/>
        <v>Apr</v>
      </c>
      <c r="E158" s="2" t="str">
        <f t="shared" si="7"/>
        <v>2023</v>
      </c>
      <c r="F158" s="1">
        <v>103</v>
      </c>
      <c r="G158" s="1">
        <v>72</v>
      </c>
      <c r="H158" s="1">
        <v>32</v>
      </c>
      <c r="I158" s="1">
        <v>190</v>
      </c>
      <c r="J158" s="1">
        <v>37.700000000000003</v>
      </c>
      <c r="K158" s="1">
        <v>0.32400000000000001</v>
      </c>
      <c r="L158" s="1">
        <v>55</v>
      </c>
      <c r="M158" s="1">
        <v>0</v>
      </c>
      <c r="N158" s="1" t="s">
        <v>46</v>
      </c>
      <c r="O158" s="1" t="str">
        <f t="shared" si="8"/>
        <v>Old</v>
      </c>
    </row>
    <row r="159" spans="1:15" x14ac:dyDescent="0.3">
      <c r="A159" s="1">
        <v>1125</v>
      </c>
      <c r="B159" s="1" t="s">
        <v>8</v>
      </c>
      <c r="C159" s="2">
        <v>45187</v>
      </c>
      <c r="D159" s="2" t="str">
        <f t="shared" si="6"/>
        <v>Sep</v>
      </c>
      <c r="E159" s="2" t="str">
        <f t="shared" si="7"/>
        <v>2023</v>
      </c>
      <c r="F159" s="1">
        <v>196</v>
      </c>
      <c r="G159" s="1">
        <v>76</v>
      </c>
      <c r="H159" s="1">
        <v>29</v>
      </c>
      <c r="I159" s="1">
        <v>280</v>
      </c>
      <c r="J159" s="1">
        <v>37.5</v>
      </c>
      <c r="K159" s="1">
        <v>0.60499999999999998</v>
      </c>
      <c r="L159" s="1">
        <v>57</v>
      </c>
      <c r="M159" s="1">
        <v>1</v>
      </c>
      <c r="N159" s="1" t="s">
        <v>45</v>
      </c>
      <c r="O159" s="1" t="str">
        <f t="shared" si="8"/>
        <v>Old</v>
      </c>
    </row>
    <row r="160" spans="1:15" x14ac:dyDescent="0.3">
      <c r="A160" s="1">
        <v>2226</v>
      </c>
      <c r="B160" s="1" t="s">
        <v>9</v>
      </c>
      <c r="C160" s="2">
        <v>44335</v>
      </c>
      <c r="D160" s="2" t="str">
        <f t="shared" si="6"/>
        <v>May</v>
      </c>
      <c r="E160" s="2" t="str">
        <f t="shared" si="7"/>
        <v>2021</v>
      </c>
      <c r="F160" s="1">
        <v>162</v>
      </c>
      <c r="G160" s="1">
        <v>104</v>
      </c>
      <c r="H160" s="1">
        <v>22</v>
      </c>
      <c r="I160" s="1">
        <v>12</v>
      </c>
      <c r="J160" s="1">
        <v>37.700000000000003</v>
      </c>
      <c r="K160" s="1">
        <v>0.151</v>
      </c>
      <c r="L160" s="1">
        <v>52</v>
      </c>
      <c r="M160" s="1">
        <v>1</v>
      </c>
      <c r="N160" s="1" t="s">
        <v>45</v>
      </c>
      <c r="O160" s="1" t="str">
        <f t="shared" si="8"/>
        <v>Old</v>
      </c>
    </row>
    <row r="161" spans="1:15" x14ac:dyDescent="0.3">
      <c r="A161" s="1">
        <v>6768</v>
      </c>
      <c r="B161" s="1" t="s">
        <v>9</v>
      </c>
      <c r="C161" s="2">
        <v>45249</v>
      </c>
      <c r="D161" s="2" t="str">
        <f t="shared" si="6"/>
        <v>Nov</v>
      </c>
      <c r="E161" s="2" t="str">
        <f t="shared" si="7"/>
        <v>2023</v>
      </c>
      <c r="F161" s="1">
        <v>96</v>
      </c>
      <c r="G161" s="1">
        <v>64</v>
      </c>
      <c r="H161" s="1">
        <v>27</v>
      </c>
      <c r="I161" s="1">
        <v>87</v>
      </c>
      <c r="J161" s="1">
        <v>33.200000000000003</v>
      </c>
      <c r="K161" s="1">
        <v>0.28899999999999998</v>
      </c>
      <c r="L161" s="1">
        <v>21</v>
      </c>
      <c r="M161" s="1">
        <v>0</v>
      </c>
      <c r="N161" s="1" t="s">
        <v>46</v>
      </c>
      <c r="O161" s="1" t="str">
        <f t="shared" si="8"/>
        <v>Young</v>
      </c>
    </row>
    <row r="162" spans="1:15" x14ac:dyDescent="0.3">
      <c r="A162" s="1">
        <v>2380</v>
      </c>
      <c r="B162" s="1" t="s">
        <v>8</v>
      </c>
      <c r="C162" s="2">
        <v>44703</v>
      </c>
      <c r="D162" s="2" t="str">
        <f t="shared" si="6"/>
        <v>May</v>
      </c>
      <c r="E162" s="2" t="str">
        <f t="shared" si="7"/>
        <v>2022</v>
      </c>
      <c r="F162" s="1">
        <v>140</v>
      </c>
      <c r="G162" s="1">
        <v>65</v>
      </c>
      <c r="H162" s="1">
        <v>26</v>
      </c>
      <c r="I162" s="1">
        <v>130</v>
      </c>
      <c r="J162" s="1">
        <v>42.6</v>
      </c>
      <c r="K162" s="1">
        <v>0.43099999999999999</v>
      </c>
      <c r="L162" s="1">
        <v>24</v>
      </c>
      <c r="M162" s="1">
        <v>1</v>
      </c>
      <c r="N162" s="1" t="s">
        <v>45</v>
      </c>
      <c r="O162" s="1" t="str">
        <f t="shared" si="8"/>
        <v>Young</v>
      </c>
    </row>
    <row r="163" spans="1:15" x14ac:dyDescent="0.3">
      <c r="A163" s="1">
        <v>1504</v>
      </c>
      <c r="B163" s="1" t="s">
        <v>9</v>
      </c>
      <c r="C163" s="2">
        <v>44969</v>
      </c>
      <c r="D163" s="2" t="str">
        <f t="shared" si="6"/>
        <v>Feb</v>
      </c>
      <c r="E163" s="2" t="str">
        <f t="shared" si="7"/>
        <v>2023</v>
      </c>
      <c r="F163" s="1">
        <v>112</v>
      </c>
      <c r="G163" s="1">
        <v>82</v>
      </c>
      <c r="H163" s="1">
        <v>32</v>
      </c>
      <c r="I163" s="1">
        <v>175</v>
      </c>
      <c r="J163" s="1">
        <v>34.200000000000003</v>
      </c>
      <c r="K163" s="1">
        <v>0.26</v>
      </c>
      <c r="L163" s="1">
        <v>36</v>
      </c>
      <c r="M163" s="1">
        <v>1</v>
      </c>
      <c r="N163" s="1" t="s">
        <v>45</v>
      </c>
      <c r="O163" s="1" t="str">
        <f t="shared" si="8"/>
        <v>Middle-Aged</v>
      </c>
    </row>
    <row r="164" spans="1:15" x14ac:dyDescent="0.3">
      <c r="A164" s="1">
        <v>3291</v>
      </c>
      <c r="B164" s="1" t="s">
        <v>8</v>
      </c>
      <c r="C164" s="2">
        <v>45245</v>
      </c>
      <c r="D164" s="2" t="str">
        <f t="shared" si="6"/>
        <v>Nov</v>
      </c>
      <c r="E164" s="2" t="str">
        <f t="shared" si="7"/>
        <v>2023</v>
      </c>
      <c r="F164" s="1">
        <v>151</v>
      </c>
      <c r="G164" s="1">
        <v>70</v>
      </c>
      <c r="H164" s="1">
        <v>40</v>
      </c>
      <c r="I164" s="1">
        <v>271</v>
      </c>
      <c r="J164" s="1">
        <v>41.8</v>
      </c>
      <c r="K164" s="1">
        <v>0.74199999999999999</v>
      </c>
      <c r="L164" s="1">
        <v>38</v>
      </c>
      <c r="M164" s="1">
        <v>1</v>
      </c>
      <c r="N164" s="1" t="s">
        <v>45</v>
      </c>
      <c r="O164" s="1" t="str">
        <f t="shared" si="8"/>
        <v>Middle-Aged</v>
      </c>
    </row>
    <row r="165" spans="1:15" x14ac:dyDescent="0.3">
      <c r="A165" s="1">
        <v>1607</v>
      </c>
      <c r="B165" s="1" t="s">
        <v>9</v>
      </c>
      <c r="C165" s="2">
        <v>44623</v>
      </c>
      <c r="D165" s="2" t="str">
        <f t="shared" si="6"/>
        <v>Mar</v>
      </c>
      <c r="E165" s="2" t="str">
        <f t="shared" si="7"/>
        <v>2022</v>
      </c>
      <c r="F165" s="1">
        <v>109</v>
      </c>
      <c r="G165" s="1">
        <v>62</v>
      </c>
      <c r="H165" s="1">
        <v>41</v>
      </c>
      <c r="I165" s="1">
        <v>129</v>
      </c>
      <c r="J165" s="1">
        <v>35.799999999999997</v>
      </c>
      <c r="K165" s="1">
        <v>0.51400000000000001</v>
      </c>
      <c r="L165" s="1">
        <v>25</v>
      </c>
      <c r="M165" s="1">
        <v>1</v>
      </c>
      <c r="N165" s="1" t="s">
        <v>45</v>
      </c>
      <c r="O165" s="1" t="str">
        <f t="shared" si="8"/>
        <v>Young</v>
      </c>
    </row>
    <row r="166" spans="1:15" x14ac:dyDescent="0.3">
      <c r="A166" s="1">
        <v>4939</v>
      </c>
      <c r="B166" s="1" t="s">
        <v>8</v>
      </c>
      <c r="C166" s="2">
        <v>44538</v>
      </c>
      <c r="D166" s="2" t="str">
        <f t="shared" si="6"/>
        <v>Dec</v>
      </c>
      <c r="E166" s="2" t="str">
        <f t="shared" si="7"/>
        <v>2021</v>
      </c>
      <c r="F166" s="1">
        <v>125</v>
      </c>
      <c r="G166" s="1">
        <v>68</v>
      </c>
      <c r="H166" s="1">
        <v>30</v>
      </c>
      <c r="I166" s="1">
        <v>120</v>
      </c>
      <c r="J166" s="1">
        <v>30</v>
      </c>
      <c r="K166" s="1">
        <v>0.46400000000000002</v>
      </c>
      <c r="L166" s="1">
        <v>32</v>
      </c>
      <c r="M166" s="1">
        <v>0</v>
      </c>
      <c r="N166" s="1" t="s">
        <v>46</v>
      </c>
      <c r="O166" s="1" t="str">
        <f t="shared" si="8"/>
        <v>Young</v>
      </c>
    </row>
    <row r="167" spans="1:15" x14ac:dyDescent="0.3">
      <c r="A167" s="1">
        <v>1750</v>
      </c>
      <c r="B167" s="1" t="s">
        <v>9</v>
      </c>
      <c r="C167" s="2">
        <v>44413</v>
      </c>
      <c r="D167" s="2" t="str">
        <f t="shared" si="6"/>
        <v>Aug</v>
      </c>
      <c r="E167" s="2" t="str">
        <f t="shared" si="7"/>
        <v>2021</v>
      </c>
      <c r="F167" s="1">
        <v>112</v>
      </c>
      <c r="G167" s="1">
        <v>66</v>
      </c>
      <c r="H167" s="1">
        <v>22</v>
      </c>
      <c r="I167" s="1">
        <v>12</v>
      </c>
      <c r="J167" s="1">
        <v>37.799999999999997</v>
      </c>
      <c r="K167" s="1">
        <v>0.26100000000000001</v>
      </c>
      <c r="L167" s="1">
        <v>41</v>
      </c>
      <c r="M167" s="1">
        <v>1</v>
      </c>
      <c r="N167" s="1" t="s">
        <v>45</v>
      </c>
      <c r="O167" s="1" t="str">
        <f t="shared" si="8"/>
        <v>Middle-Aged</v>
      </c>
    </row>
    <row r="168" spans="1:15" x14ac:dyDescent="0.3">
      <c r="A168" s="1">
        <v>8930</v>
      </c>
      <c r="B168" s="1" t="s">
        <v>8</v>
      </c>
      <c r="C168" s="2">
        <v>44302</v>
      </c>
      <c r="D168" s="2" t="str">
        <f t="shared" si="6"/>
        <v>Apr</v>
      </c>
      <c r="E168" s="2" t="str">
        <f t="shared" si="7"/>
        <v>2021</v>
      </c>
      <c r="F168" s="1">
        <v>177</v>
      </c>
      <c r="G168" s="1">
        <v>60</v>
      </c>
      <c r="H168" s="1">
        <v>29</v>
      </c>
      <c r="I168" s="1">
        <v>478</v>
      </c>
      <c r="J168" s="1">
        <v>34.6</v>
      </c>
      <c r="K168" s="1">
        <v>1.0720000000000001</v>
      </c>
      <c r="L168" s="1">
        <v>21</v>
      </c>
      <c r="M168" s="1">
        <v>1</v>
      </c>
      <c r="N168" s="1" t="s">
        <v>45</v>
      </c>
      <c r="O168" s="1" t="str">
        <f t="shared" si="8"/>
        <v>Young</v>
      </c>
    </row>
    <row r="169" spans="1:15" x14ac:dyDescent="0.3">
      <c r="A169" s="1">
        <v>1480</v>
      </c>
      <c r="B169" s="1" t="s">
        <v>8</v>
      </c>
      <c r="C169" s="2">
        <v>45387</v>
      </c>
      <c r="D169" s="2" t="str">
        <f t="shared" si="6"/>
        <v>Apr</v>
      </c>
      <c r="E169" s="2" t="str">
        <f t="shared" si="7"/>
        <v>2024</v>
      </c>
      <c r="F169" s="1">
        <v>158</v>
      </c>
      <c r="G169" s="1">
        <v>90</v>
      </c>
      <c r="H169" s="1">
        <v>22</v>
      </c>
      <c r="I169" s="1">
        <v>32</v>
      </c>
      <c r="J169" s="1">
        <v>31.6</v>
      </c>
      <c r="K169" s="1">
        <v>0.80500000000000005</v>
      </c>
      <c r="L169" s="1">
        <v>66</v>
      </c>
      <c r="M169" s="1">
        <v>1</v>
      </c>
      <c r="N169" s="1" t="s">
        <v>45</v>
      </c>
      <c r="O169" s="1" t="str">
        <f t="shared" si="8"/>
        <v>Very Old</v>
      </c>
    </row>
    <row r="170" spans="1:15" x14ac:dyDescent="0.3">
      <c r="A170" s="1">
        <v>4363</v>
      </c>
      <c r="B170" s="1" t="s">
        <v>9</v>
      </c>
      <c r="C170" s="2">
        <v>45036</v>
      </c>
      <c r="D170" s="2" t="str">
        <f t="shared" si="6"/>
        <v>Apr</v>
      </c>
      <c r="E170" s="2" t="str">
        <f t="shared" si="7"/>
        <v>2023</v>
      </c>
      <c r="F170" s="1">
        <v>142</v>
      </c>
      <c r="G170" s="1">
        <v>60</v>
      </c>
      <c r="H170" s="1">
        <v>33</v>
      </c>
      <c r="I170" s="1">
        <v>190</v>
      </c>
      <c r="J170" s="1">
        <v>28.8</v>
      </c>
      <c r="K170" s="1">
        <v>0.68700000000000006</v>
      </c>
      <c r="L170" s="1">
        <v>61</v>
      </c>
      <c r="M170" s="1">
        <v>0</v>
      </c>
      <c r="N170" s="1" t="s">
        <v>46</v>
      </c>
      <c r="O170" s="1" t="str">
        <f t="shared" si="8"/>
        <v>Old</v>
      </c>
    </row>
    <row r="171" spans="1:15" x14ac:dyDescent="0.3">
      <c r="A171" s="1">
        <v>3951</v>
      </c>
      <c r="B171" s="1" t="s">
        <v>9</v>
      </c>
      <c r="C171" s="2">
        <v>44859</v>
      </c>
      <c r="D171" s="2" t="str">
        <f t="shared" si="6"/>
        <v>Oct</v>
      </c>
      <c r="E171" s="2" t="str">
        <f t="shared" si="7"/>
        <v>2022</v>
      </c>
      <c r="F171" s="1">
        <v>100</v>
      </c>
      <c r="G171" s="1">
        <v>66</v>
      </c>
      <c r="H171" s="1">
        <v>15</v>
      </c>
      <c r="I171" s="1">
        <v>56</v>
      </c>
      <c r="J171" s="1">
        <v>23.6</v>
      </c>
      <c r="K171" s="1">
        <v>0.66600000000000004</v>
      </c>
      <c r="L171" s="1">
        <v>26</v>
      </c>
      <c r="M171" s="1">
        <v>0</v>
      </c>
      <c r="N171" s="1" t="s">
        <v>46</v>
      </c>
      <c r="O171" s="1" t="str">
        <f t="shared" si="8"/>
        <v>Young</v>
      </c>
    </row>
    <row r="172" spans="1:15" x14ac:dyDescent="0.3">
      <c r="A172" s="1">
        <v>9244</v>
      </c>
      <c r="B172" s="1" t="s">
        <v>9</v>
      </c>
      <c r="C172" s="2">
        <v>44543</v>
      </c>
      <c r="D172" s="2" t="str">
        <f t="shared" si="6"/>
        <v>Dec</v>
      </c>
      <c r="E172" s="2" t="str">
        <f t="shared" si="7"/>
        <v>2021</v>
      </c>
      <c r="F172" s="1">
        <v>87</v>
      </c>
      <c r="G172" s="1">
        <v>78</v>
      </c>
      <c r="H172" s="1">
        <v>27</v>
      </c>
      <c r="I172" s="1">
        <v>32</v>
      </c>
      <c r="J172" s="1">
        <v>34.6</v>
      </c>
      <c r="K172" s="1">
        <v>0.10100000000000001</v>
      </c>
      <c r="L172" s="1">
        <v>22</v>
      </c>
      <c r="M172" s="1">
        <v>0</v>
      </c>
      <c r="N172" s="1" t="s">
        <v>46</v>
      </c>
      <c r="O172" s="1" t="str">
        <f t="shared" si="8"/>
        <v>Young</v>
      </c>
    </row>
    <row r="173" spans="1:15" x14ac:dyDescent="0.3">
      <c r="A173" s="1">
        <v>8723</v>
      </c>
      <c r="B173" s="1" t="s">
        <v>8</v>
      </c>
      <c r="C173" s="2">
        <v>44561</v>
      </c>
      <c r="D173" s="2" t="str">
        <f t="shared" si="6"/>
        <v>Dec</v>
      </c>
      <c r="E173" s="2" t="str">
        <f t="shared" si="7"/>
        <v>2021</v>
      </c>
      <c r="F173" s="1">
        <v>101</v>
      </c>
      <c r="G173" s="1">
        <v>76</v>
      </c>
      <c r="H173" s="1">
        <v>22</v>
      </c>
      <c r="I173" s="1">
        <v>32</v>
      </c>
      <c r="J173" s="1">
        <v>35.700000000000003</v>
      </c>
      <c r="K173" s="1">
        <v>0.19800000000000001</v>
      </c>
      <c r="L173" s="1">
        <v>26</v>
      </c>
      <c r="M173" s="1">
        <v>0</v>
      </c>
      <c r="N173" s="1" t="s">
        <v>46</v>
      </c>
      <c r="O173" s="1" t="str">
        <f t="shared" si="8"/>
        <v>Young</v>
      </c>
    </row>
    <row r="174" spans="1:15" x14ac:dyDescent="0.3">
      <c r="A174" s="1">
        <v>8122</v>
      </c>
      <c r="B174" s="1" t="s">
        <v>8</v>
      </c>
      <c r="C174" s="2">
        <v>44840</v>
      </c>
      <c r="D174" s="2" t="str">
        <f t="shared" si="6"/>
        <v>Oct</v>
      </c>
      <c r="E174" s="2" t="str">
        <f t="shared" si="7"/>
        <v>2022</v>
      </c>
      <c r="F174" s="1">
        <v>197</v>
      </c>
      <c r="G174" s="1">
        <v>70</v>
      </c>
      <c r="H174" s="1">
        <v>39</v>
      </c>
      <c r="I174" s="1">
        <v>744</v>
      </c>
      <c r="J174" s="1">
        <v>36.700000000000003</v>
      </c>
      <c r="K174" s="1">
        <v>2.3290000000000002</v>
      </c>
      <c r="L174" s="1">
        <v>31</v>
      </c>
      <c r="M174" s="1">
        <v>0</v>
      </c>
      <c r="N174" s="1" t="s">
        <v>46</v>
      </c>
      <c r="O174" s="1" t="str">
        <f t="shared" si="8"/>
        <v>Young</v>
      </c>
    </row>
    <row r="175" spans="1:15" x14ac:dyDescent="0.3">
      <c r="A175" s="1">
        <v>9800</v>
      </c>
      <c r="B175" s="1" t="s">
        <v>8</v>
      </c>
      <c r="C175" s="2">
        <v>44728</v>
      </c>
      <c r="D175" s="2" t="str">
        <f t="shared" si="6"/>
        <v>Jun</v>
      </c>
      <c r="E175" s="2" t="str">
        <f t="shared" si="7"/>
        <v>2022</v>
      </c>
      <c r="F175" s="1">
        <v>117</v>
      </c>
      <c r="G175" s="1">
        <v>80</v>
      </c>
      <c r="H175" s="1">
        <v>31</v>
      </c>
      <c r="I175" s="1">
        <v>53</v>
      </c>
      <c r="J175" s="1">
        <v>45.2</v>
      </c>
      <c r="K175" s="1">
        <v>8.8999999999999996E-2</v>
      </c>
      <c r="L175" s="1">
        <v>24</v>
      </c>
      <c r="M175" s="1">
        <v>0</v>
      </c>
      <c r="N175" s="1" t="s">
        <v>46</v>
      </c>
      <c r="O175" s="1" t="str">
        <f t="shared" si="8"/>
        <v>Young</v>
      </c>
    </row>
    <row r="176" spans="1:15" x14ac:dyDescent="0.3">
      <c r="A176" s="1">
        <v>7776</v>
      </c>
      <c r="B176" s="1" t="s">
        <v>8</v>
      </c>
      <c r="C176" s="2">
        <v>44560</v>
      </c>
      <c r="D176" s="2" t="str">
        <f t="shared" si="6"/>
        <v>Dec</v>
      </c>
      <c r="E176" s="2" t="str">
        <f t="shared" si="7"/>
        <v>2021</v>
      </c>
      <c r="F176" s="1">
        <v>142</v>
      </c>
      <c r="G176" s="1">
        <v>86</v>
      </c>
      <c r="H176" s="1">
        <v>22</v>
      </c>
      <c r="I176" s="1">
        <v>32</v>
      </c>
      <c r="J176" s="1">
        <v>44</v>
      </c>
      <c r="K176" s="1">
        <v>0.64500000000000002</v>
      </c>
      <c r="L176" s="1">
        <v>22</v>
      </c>
      <c r="M176" s="1">
        <v>1</v>
      </c>
      <c r="N176" s="1" t="s">
        <v>45</v>
      </c>
      <c r="O176" s="1" t="str">
        <f t="shared" si="8"/>
        <v>Young</v>
      </c>
    </row>
    <row r="177" spans="1:15" x14ac:dyDescent="0.3">
      <c r="A177" s="1">
        <v>3774</v>
      </c>
      <c r="B177" s="1" t="s">
        <v>8</v>
      </c>
      <c r="C177" s="2">
        <v>44243</v>
      </c>
      <c r="D177" s="2" t="str">
        <f t="shared" si="6"/>
        <v>Feb</v>
      </c>
      <c r="E177" s="2" t="str">
        <f t="shared" si="7"/>
        <v>2021</v>
      </c>
      <c r="F177" s="1">
        <v>134</v>
      </c>
      <c r="G177" s="1">
        <v>80</v>
      </c>
      <c r="H177" s="1">
        <v>37</v>
      </c>
      <c r="I177" s="1">
        <v>370</v>
      </c>
      <c r="J177" s="1">
        <v>46.2</v>
      </c>
      <c r="K177" s="1">
        <v>0.23799999999999999</v>
      </c>
      <c r="L177" s="1">
        <v>46</v>
      </c>
      <c r="M177" s="1">
        <v>1</v>
      </c>
      <c r="N177" s="1" t="s">
        <v>45</v>
      </c>
      <c r="O177" s="1" t="str">
        <f t="shared" si="8"/>
        <v>Middle-Aged</v>
      </c>
    </row>
    <row r="178" spans="1:15" x14ac:dyDescent="0.3">
      <c r="A178" s="1">
        <v>3674</v>
      </c>
      <c r="B178" s="1" t="s">
        <v>9</v>
      </c>
      <c r="C178" s="2">
        <v>44684</v>
      </c>
      <c r="D178" s="2" t="str">
        <f t="shared" si="6"/>
        <v>May</v>
      </c>
      <c r="E178" s="2" t="str">
        <f t="shared" si="7"/>
        <v>2022</v>
      </c>
      <c r="F178" s="1">
        <v>79</v>
      </c>
      <c r="G178" s="1">
        <v>80</v>
      </c>
      <c r="H178" s="1">
        <v>25</v>
      </c>
      <c r="I178" s="1">
        <v>37</v>
      </c>
      <c r="J178" s="1">
        <v>25.4</v>
      </c>
      <c r="K178" s="1">
        <v>0.58299999999999996</v>
      </c>
      <c r="L178" s="1">
        <v>22</v>
      </c>
      <c r="M178" s="1">
        <v>0</v>
      </c>
      <c r="N178" s="1" t="s">
        <v>46</v>
      </c>
      <c r="O178" s="1" t="str">
        <f t="shared" si="8"/>
        <v>Young</v>
      </c>
    </row>
    <row r="179" spans="1:15" x14ac:dyDescent="0.3">
      <c r="A179" s="1">
        <v>2633</v>
      </c>
      <c r="B179" s="1" t="s">
        <v>8</v>
      </c>
      <c r="C179" s="2">
        <v>44296</v>
      </c>
      <c r="D179" s="2" t="str">
        <f t="shared" si="6"/>
        <v>Apr</v>
      </c>
      <c r="E179" s="2" t="str">
        <f t="shared" si="7"/>
        <v>2021</v>
      </c>
      <c r="F179" s="1">
        <v>122</v>
      </c>
      <c r="G179" s="1">
        <v>68</v>
      </c>
      <c r="H179" s="1">
        <v>22</v>
      </c>
      <c r="I179" s="1">
        <v>32</v>
      </c>
      <c r="J179" s="1">
        <v>35</v>
      </c>
      <c r="K179" s="1">
        <v>0.39400000000000002</v>
      </c>
      <c r="L179" s="1">
        <v>29</v>
      </c>
      <c r="M179" s="1">
        <v>0</v>
      </c>
      <c r="N179" s="1" t="s">
        <v>46</v>
      </c>
      <c r="O179" s="1" t="str">
        <f t="shared" si="8"/>
        <v>Young</v>
      </c>
    </row>
    <row r="180" spans="1:15" x14ac:dyDescent="0.3">
      <c r="A180" s="1">
        <v>5390</v>
      </c>
      <c r="B180" s="1" t="s">
        <v>9</v>
      </c>
      <c r="C180" s="2">
        <v>44733</v>
      </c>
      <c r="D180" s="2" t="str">
        <f t="shared" si="6"/>
        <v>Jun</v>
      </c>
      <c r="E180" s="2" t="str">
        <f t="shared" si="7"/>
        <v>2022</v>
      </c>
      <c r="F180" s="1">
        <v>74</v>
      </c>
      <c r="G180" s="1">
        <v>68</v>
      </c>
      <c r="H180" s="1">
        <v>28</v>
      </c>
      <c r="I180" s="1">
        <v>45</v>
      </c>
      <c r="J180" s="1">
        <v>29.7</v>
      </c>
      <c r="K180" s="1">
        <v>0.29299999999999998</v>
      </c>
      <c r="L180" s="1">
        <v>23</v>
      </c>
      <c r="M180" s="1">
        <v>0</v>
      </c>
      <c r="N180" s="1" t="s">
        <v>46</v>
      </c>
      <c r="O180" s="1" t="str">
        <f t="shared" si="8"/>
        <v>Young</v>
      </c>
    </row>
    <row r="181" spans="1:15" x14ac:dyDescent="0.3">
      <c r="A181" s="1">
        <v>7856</v>
      </c>
      <c r="B181" s="1" t="s">
        <v>8</v>
      </c>
      <c r="C181" s="2">
        <v>44450</v>
      </c>
      <c r="D181" s="2" t="str">
        <f t="shared" si="6"/>
        <v>Sep</v>
      </c>
      <c r="E181" s="2" t="str">
        <f t="shared" si="7"/>
        <v>2021</v>
      </c>
      <c r="F181" s="1">
        <v>171</v>
      </c>
      <c r="G181" s="1">
        <v>72</v>
      </c>
      <c r="H181" s="1">
        <v>22</v>
      </c>
      <c r="I181" s="1">
        <v>32</v>
      </c>
      <c r="J181" s="1">
        <v>43.6</v>
      </c>
      <c r="K181" s="1">
        <v>0.47899999999999998</v>
      </c>
      <c r="L181" s="1">
        <v>26</v>
      </c>
      <c r="M181" s="1">
        <v>1</v>
      </c>
      <c r="N181" s="1" t="s">
        <v>45</v>
      </c>
      <c r="O181" s="1" t="str">
        <f t="shared" si="8"/>
        <v>Young</v>
      </c>
    </row>
    <row r="182" spans="1:15" x14ac:dyDescent="0.3">
      <c r="A182" s="1">
        <v>3824</v>
      </c>
      <c r="B182" s="1" t="s">
        <v>9</v>
      </c>
      <c r="C182" s="2">
        <v>44724</v>
      </c>
      <c r="D182" s="2" t="str">
        <f t="shared" si="6"/>
        <v>Jun</v>
      </c>
      <c r="E182" s="2" t="str">
        <f t="shared" si="7"/>
        <v>2022</v>
      </c>
      <c r="F182" s="1">
        <v>181</v>
      </c>
      <c r="G182" s="1">
        <v>84</v>
      </c>
      <c r="H182" s="1">
        <v>21</v>
      </c>
      <c r="I182" s="1">
        <v>192</v>
      </c>
      <c r="J182" s="1">
        <v>35.9</v>
      </c>
      <c r="K182" s="1">
        <v>0.58599999999999997</v>
      </c>
      <c r="L182" s="1">
        <v>51</v>
      </c>
      <c r="M182" s="1">
        <v>1</v>
      </c>
      <c r="N182" s="1" t="s">
        <v>45</v>
      </c>
      <c r="O182" s="1" t="str">
        <f t="shared" si="8"/>
        <v>Old</v>
      </c>
    </row>
    <row r="183" spans="1:15" x14ac:dyDescent="0.3">
      <c r="A183" s="1">
        <v>7649</v>
      </c>
      <c r="B183" s="1" t="s">
        <v>8</v>
      </c>
      <c r="C183" s="2">
        <v>45587</v>
      </c>
      <c r="D183" s="2" t="str">
        <f t="shared" si="6"/>
        <v>Oct</v>
      </c>
      <c r="E183" s="2" t="str">
        <f t="shared" si="7"/>
        <v>2024</v>
      </c>
      <c r="F183" s="1">
        <v>104</v>
      </c>
      <c r="G183" s="1">
        <v>76</v>
      </c>
      <c r="H183" s="1">
        <v>22</v>
      </c>
      <c r="I183" s="1">
        <v>32</v>
      </c>
      <c r="J183" s="1">
        <v>18.399999999999999</v>
      </c>
      <c r="K183" s="1">
        <v>0.58199999999999996</v>
      </c>
      <c r="L183" s="1">
        <v>27</v>
      </c>
      <c r="M183" s="1">
        <v>0</v>
      </c>
      <c r="N183" s="1" t="s">
        <v>46</v>
      </c>
      <c r="O183" s="1" t="str">
        <f t="shared" si="8"/>
        <v>Young</v>
      </c>
    </row>
    <row r="184" spans="1:15" x14ac:dyDescent="0.3">
      <c r="A184" s="1">
        <v>7807</v>
      </c>
      <c r="B184" s="1" t="s">
        <v>8</v>
      </c>
      <c r="C184" s="2">
        <v>44855</v>
      </c>
      <c r="D184" s="2" t="str">
        <f t="shared" si="6"/>
        <v>Oct</v>
      </c>
      <c r="E184" s="2" t="str">
        <f t="shared" si="7"/>
        <v>2022</v>
      </c>
      <c r="F184" s="1">
        <v>91</v>
      </c>
      <c r="G184" s="1">
        <v>70</v>
      </c>
      <c r="H184" s="1">
        <v>32</v>
      </c>
      <c r="I184" s="1">
        <v>88</v>
      </c>
      <c r="J184" s="1">
        <v>33.1</v>
      </c>
      <c r="K184" s="1">
        <v>0.44600000000000001</v>
      </c>
      <c r="L184" s="1">
        <v>22</v>
      </c>
      <c r="M184" s="1">
        <v>0</v>
      </c>
      <c r="N184" s="1" t="s">
        <v>46</v>
      </c>
      <c r="O184" s="1" t="str">
        <f t="shared" si="8"/>
        <v>Young</v>
      </c>
    </row>
    <row r="185" spans="1:15" x14ac:dyDescent="0.3">
      <c r="A185" s="1">
        <v>1827</v>
      </c>
      <c r="B185" s="1" t="s">
        <v>9</v>
      </c>
      <c r="C185" s="2">
        <v>45541</v>
      </c>
      <c r="D185" s="2" t="str">
        <f t="shared" si="6"/>
        <v>Sep</v>
      </c>
      <c r="E185" s="2" t="str">
        <f t="shared" si="7"/>
        <v>2024</v>
      </c>
      <c r="F185" s="1">
        <v>139</v>
      </c>
      <c r="G185" s="1">
        <v>54</v>
      </c>
      <c r="H185" s="1">
        <v>22</v>
      </c>
      <c r="I185" s="1">
        <v>32</v>
      </c>
      <c r="J185" s="1">
        <v>25.6</v>
      </c>
      <c r="K185" s="1">
        <v>0.40200000000000002</v>
      </c>
      <c r="L185" s="1">
        <v>22</v>
      </c>
      <c r="M185" s="1">
        <v>1</v>
      </c>
      <c r="N185" s="1" t="s">
        <v>45</v>
      </c>
      <c r="O185" s="1" t="str">
        <f t="shared" si="8"/>
        <v>Young</v>
      </c>
    </row>
    <row r="186" spans="1:15" x14ac:dyDescent="0.3">
      <c r="A186" s="1">
        <v>1681</v>
      </c>
      <c r="B186" s="1" t="s">
        <v>8</v>
      </c>
      <c r="C186" s="2">
        <v>44784</v>
      </c>
      <c r="D186" s="2" t="str">
        <f t="shared" si="6"/>
        <v>Aug</v>
      </c>
      <c r="E186" s="2" t="str">
        <f t="shared" si="7"/>
        <v>2022</v>
      </c>
      <c r="F186" s="1">
        <v>119</v>
      </c>
      <c r="G186" s="1">
        <v>50</v>
      </c>
      <c r="H186" s="1">
        <v>22</v>
      </c>
      <c r="I186" s="1">
        <v>176</v>
      </c>
      <c r="J186" s="1">
        <v>27.1</v>
      </c>
      <c r="K186" s="1">
        <v>1.3180000000000001</v>
      </c>
      <c r="L186" s="1">
        <v>33</v>
      </c>
      <c r="M186" s="1">
        <v>1</v>
      </c>
      <c r="N186" s="1" t="s">
        <v>45</v>
      </c>
      <c r="O186" s="1" t="str">
        <f t="shared" si="8"/>
        <v>Young</v>
      </c>
    </row>
    <row r="187" spans="1:15" x14ac:dyDescent="0.3">
      <c r="A187" s="1">
        <v>9046</v>
      </c>
      <c r="B187" s="1" t="s">
        <v>8</v>
      </c>
      <c r="C187" s="2">
        <v>44424</v>
      </c>
      <c r="D187" s="2" t="str">
        <f t="shared" si="6"/>
        <v>Aug</v>
      </c>
      <c r="E187" s="2" t="str">
        <f t="shared" si="7"/>
        <v>2021</v>
      </c>
      <c r="F187" s="1">
        <v>146</v>
      </c>
      <c r="G187" s="1">
        <v>76</v>
      </c>
      <c r="H187" s="1">
        <v>35</v>
      </c>
      <c r="I187" s="1">
        <v>194</v>
      </c>
      <c r="J187" s="1">
        <v>38.200000000000003</v>
      </c>
      <c r="K187" s="1">
        <v>0.32900000000000001</v>
      </c>
      <c r="L187" s="1">
        <v>29</v>
      </c>
      <c r="M187" s="1">
        <v>0</v>
      </c>
      <c r="N187" s="1" t="s">
        <v>46</v>
      </c>
      <c r="O187" s="1" t="str">
        <f t="shared" si="8"/>
        <v>Young</v>
      </c>
    </row>
    <row r="188" spans="1:15" x14ac:dyDescent="0.3">
      <c r="A188" s="1">
        <v>5813</v>
      </c>
      <c r="B188" s="1" t="s">
        <v>8</v>
      </c>
      <c r="C188" s="2">
        <v>45197</v>
      </c>
      <c r="D188" s="2" t="str">
        <f t="shared" si="6"/>
        <v>Sep</v>
      </c>
      <c r="E188" s="2" t="str">
        <f t="shared" si="7"/>
        <v>2023</v>
      </c>
      <c r="F188" s="1">
        <v>122</v>
      </c>
      <c r="G188" s="1">
        <v>68</v>
      </c>
      <c r="H188" s="1">
        <v>22</v>
      </c>
      <c r="I188" s="1">
        <v>32</v>
      </c>
      <c r="J188" s="1">
        <v>31.2</v>
      </c>
      <c r="K188" s="1">
        <v>0.25800000000000001</v>
      </c>
      <c r="L188" s="1">
        <v>41</v>
      </c>
      <c r="M188" s="1">
        <v>0</v>
      </c>
      <c r="N188" s="1" t="s">
        <v>46</v>
      </c>
      <c r="O188" s="1" t="str">
        <f t="shared" si="8"/>
        <v>Middle-Aged</v>
      </c>
    </row>
    <row r="189" spans="1:15" x14ac:dyDescent="0.3">
      <c r="A189" s="1">
        <v>6745</v>
      </c>
      <c r="B189" s="1" t="s">
        <v>8</v>
      </c>
      <c r="C189" s="2">
        <v>44582</v>
      </c>
      <c r="D189" s="2" t="str">
        <f t="shared" si="6"/>
        <v>Jan</v>
      </c>
      <c r="E189" s="2" t="str">
        <f t="shared" si="7"/>
        <v>2022</v>
      </c>
      <c r="F189" s="1">
        <v>165</v>
      </c>
      <c r="G189" s="1">
        <v>90</v>
      </c>
      <c r="H189" s="1">
        <v>33</v>
      </c>
      <c r="I189" s="1">
        <v>680</v>
      </c>
      <c r="J189" s="1">
        <v>52.3</v>
      </c>
      <c r="K189" s="1">
        <v>0.42699999999999999</v>
      </c>
      <c r="L189" s="1">
        <v>23</v>
      </c>
      <c r="M189" s="1">
        <v>0</v>
      </c>
      <c r="N189" s="1" t="s">
        <v>46</v>
      </c>
      <c r="O189" s="1" t="str">
        <f t="shared" si="8"/>
        <v>Young</v>
      </c>
    </row>
    <row r="190" spans="1:15" x14ac:dyDescent="0.3">
      <c r="A190" s="1">
        <v>6962</v>
      </c>
      <c r="B190" s="1" t="s">
        <v>9</v>
      </c>
      <c r="C190" s="2">
        <v>45422</v>
      </c>
      <c r="D190" s="2" t="str">
        <f t="shared" si="6"/>
        <v>May</v>
      </c>
      <c r="E190" s="2" t="str">
        <f t="shared" si="7"/>
        <v>2024</v>
      </c>
      <c r="F190" s="1">
        <v>124</v>
      </c>
      <c r="G190" s="1">
        <v>70</v>
      </c>
      <c r="H190" s="1">
        <v>33</v>
      </c>
      <c r="I190" s="1">
        <v>402</v>
      </c>
      <c r="J190" s="1">
        <v>35.4</v>
      </c>
      <c r="K190" s="1">
        <v>0.28199999999999997</v>
      </c>
      <c r="L190" s="1">
        <v>34</v>
      </c>
      <c r="M190" s="1">
        <v>0</v>
      </c>
      <c r="N190" s="1" t="s">
        <v>46</v>
      </c>
      <c r="O190" s="1" t="str">
        <f t="shared" si="8"/>
        <v>Young</v>
      </c>
    </row>
    <row r="191" spans="1:15" x14ac:dyDescent="0.3">
      <c r="A191" s="1">
        <v>4626</v>
      </c>
      <c r="B191" s="1" t="s">
        <v>9</v>
      </c>
      <c r="C191" s="2">
        <v>44926</v>
      </c>
      <c r="D191" s="2" t="str">
        <f t="shared" si="6"/>
        <v>Dec</v>
      </c>
      <c r="E191" s="2" t="str">
        <f t="shared" si="7"/>
        <v>2022</v>
      </c>
      <c r="F191" s="1">
        <v>106</v>
      </c>
      <c r="G191" s="1">
        <v>52</v>
      </c>
      <c r="H191" s="1">
        <v>22</v>
      </c>
      <c r="I191" s="1">
        <v>32</v>
      </c>
      <c r="J191" s="1">
        <v>31.2</v>
      </c>
      <c r="K191" s="1">
        <v>0.38</v>
      </c>
      <c r="L191" s="1">
        <v>42</v>
      </c>
      <c r="M191" s="1">
        <v>0</v>
      </c>
      <c r="N191" s="1" t="s">
        <v>46</v>
      </c>
      <c r="O191" s="1" t="str">
        <f t="shared" si="8"/>
        <v>Middle-Aged</v>
      </c>
    </row>
    <row r="192" spans="1:15" x14ac:dyDescent="0.3">
      <c r="A192" s="1">
        <v>2888</v>
      </c>
      <c r="B192" s="1" t="s">
        <v>8</v>
      </c>
      <c r="C192" s="2">
        <v>45291</v>
      </c>
      <c r="D192" s="2" t="str">
        <f t="shared" si="6"/>
        <v>Dec</v>
      </c>
      <c r="E192" s="2" t="str">
        <f t="shared" si="7"/>
        <v>2023</v>
      </c>
      <c r="F192" s="1">
        <v>129</v>
      </c>
      <c r="G192" s="1">
        <v>84</v>
      </c>
      <c r="H192" s="1">
        <v>29</v>
      </c>
      <c r="I192" s="1">
        <v>32</v>
      </c>
      <c r="J192" s="1">
        <v>28</v>
      </c>
      <c r="K192" s="1">
        <v>0.28399999999999997</v>
      </c>
      <c r="L192" s="1">
        <v>27</v>
      </c>
      <c r="M192" s="1">
        <v>0</v>
      </c>
      <c r="N192" s="1" t="s">
        <v>46</v>
      </c>
      <c r="O192" s="1" t="str">
        <f t="shared" si="8"/>
        <v>Young</v>
      </c>
    </row>
    <row r="193" spans="1:15" x14ac:dyDescent="0.3">
      <c r="A193" s="1">
        <v>6260</v>
      </c>
      <c r="B193" s="1" t="s">
        <v>8</v>
      </c>
      <c r="C193" s="2">
        <v>45496</v>
      </c>
      <c r="D193" s="2" t="str">
        <f t="shared" si="6"/>
        <v>Jul</v>
      </c>
      <c r="E193" s="2" t="str">
        <f t="shared" si="7"/>
        <v>2024</v>
      </c>
      <c r="F193" s="1">
        <v>90</v>
      </c>
      <c r="G193" s="1">
        <v>80</v>
      </c>
      <c r="H193" s="1">
        <v>14</v>
      </c>
      <c r="I193" s="1">
        <v>55</v>
      </c>
      <c r="J193" s="1">
        <v>24.4</v>
      </c>
      <c r="K193" s="1">
        <v>0.249</v>
      </c>
      <c r="L193" s="1">
        <v>24</v>
      </c>
      <c r="M193" s="1">
        <v>0</v>
      </c>
      <c r="N193" s="1" t="s">
        <v>46</v>
      </c>
      <c r="O193" s="1" t="str">
        <f t="shared" si="8"/>
        <v>Young</v>
      </c>
    </row>
    <row r="194" spans="1:15" x14ac:dyDescent="0.3">
      <c r="A194" s="1">
        <v>6657</v>
      </c>
      <c r="B194" s="1" t="s">
        <v>8</v>
      </c>
      <c r="C194" s="2">
        <v>45136</v>
      </c>
      <c r="D194" s="2" t="str">
        <f t="shared" si="6"/>
        <v>Jul</v>
      </c>
      <c r="E194" s="2" t="str">
        <f t="shared" si="7"/>
        <v>2023</v>
      </c>
      <c r="F194" s="1">
        <v>92</v>
      </c>
      <c r="G194" s="1">
        <v>62</v>
      </c>
      <c r="H194" s="1">
        <v>7</v>
      </c>
      <c r="I194" s="1">
        <v>258</v>
      </c>
      <c r="J194" s="1">
        <v>27.6</v>
      </c>
      <c r="K194" s="1">
        <v>0.92600000000000005</v>
      </c>
      <c r="L194" s="1">
        <v>44</v>
      </c>
      <c r="M194" s="1">
        <v>1</v>
      </c>
      <c r="N194" s="1" t="s">
        <v>45</v>
      </c>
      <c r="O194" s="1" t="str">
        <f t="shared" si="8"/>
        <v>Middle-Aged</v>
      </c>
    </row>
    <row r="195" spans="1:15" x14ac:dyDescent="0.3">
      <c r="A195" s="1">
        <v>2988</v>
      </c>
      <c r="B195" s="1" t="s">
        <v>9</v>
      </c>
      <c r="C195" s="2">
        <v>45347</v>
      </c>
      <c r="D195" s="2" t="str">
        <f t="shared" ref="D195:D258" si="9">TEXT(C195,"MMM")</f>
        <v>Feb</v>
      </c>
      <c r="E195" s="2" t="str">
        <f t="shared" ref="E195:E258" si="10">TEXT(C195,"YYY")</f>
        <v>2024</v>
      </c>
      <c r="F195" s="1">
        <v>193</v>
      </c>
      <c r="G195" s="1">
        <v>50</v>
      </c>
      <c r="H195" s="1">
        <v>16</v>
      </c>
      <c r="I195" s="1">
        <v>375</v>
      </c>
      <c r="J195" s="1">
        <v>25.9</v>
      </c>
      <c r="K195" s="1">
        <v>0.65500000000000003</v>
      </c>
      <c r="L195" s="1">
        <v>24</v>
      </c>
      <c r="M195" s="1">
        <v>0</v>
      </c>
      <c r="N195" s="1" t="s">
        <v>46</v>
      </c>
      <c r="O195" s="1" t="str">
        <f t="shared" ref="O195:O258" si="11">IF(L195&lt;=35,"Young",IF(L195&lt;=50,"Middle-Aged",IF(L195&lt;=65,"Old","Very Old")))</f>
        <v>Young</v>
      </c>
    </row>
    <row r="196" spans="1:15" x14ac:dyDescent="0.3">
      <c r="A196" s="1">
        <v>5710</v>
      </c>
      <c r="B196" s="1" t="s">
        <v>9</v>
      </c>
      <c r="C196" s="2">
        <v>45167</v>
      </c>
      <c r="D196" s="2" t="str">
        <f t="shared" si="9"/>
        <v>Aug</v>
      </c>
      <c r="E196" s="2" t="str">
        <f t="shared" si="10"/>
        <v>2023</v>
      </c>
      <c r="F196" s="1">
        <v>155</v>
      </c>
      <c r="G196" s="1">
        <v>76</v>
      </c>
      <c r="H196" s="1">
        <v>28</v>
      </c>
      <c r="I196" s="1">
        <v>150</v>
      </c>
      <c r="J196" s="1">
        <v>33.299999999999997</v>
      </c>
      <c r="K196" s="1">
        <v>1.353</v>
      </c>
      <c r="L196" s="1">
        <v>51</v>
      </c>
      <c r="M196" s="1">
        <v>1</v>
      </c>
      <c r="N196" s="1" t="s">
        <v>45</v>
      </c>
      <c r="O196" s="1" t="str">
        <f t="shared" si="11"/>
        <v>Old</v>
      </c>
    </row>
    <row r="197" spans="1:15" x14ac:dyDescent="0.3">
      <c r="A197" s="1">
        <v>4933</v>
      </c>
      <c r="B197" s="1" t="s">
        <v>9</v>
      </c>
      <c r="C197" s="2">
        <v>44658</v>
      </c>
      <c r="D197" s="2" t="str">
        <f t="shared" si="9"/>
        <v>Apr</v>
      </c>
      <c r="E197" s="2" t="str">
        <f t="shared" si="10"/>
        <v>2022</v>
      </c>
      <c r="F197" s="1">
        <v>191</v>
      </c>
      <c r="G197" s="1">
        <v>68</v>
      </c>
      <c r="H197" s="1">
        <v>15</v>
      </c>
      <c r="I197" s="1">
        <v>130</v>
      </c>
      <c r="J197" s="1">
        <v>30.9</v>
      </c>
      <c r="K197" s="1">
        <v>0.29899999999999999</v>
      </c>
      <c r="L197" s="1">
        <v>34</v>
      </c>
      <c r="M197" s="1">
        <v>0</v>
      </c>
      <c r="N197" s="1" t="s">
        <v>46</v>
      </c>
      <c r="O197" s="1" t="str">
        <f t="shared" si="11"/>
        <v>Young</v>
      </c>
    </row>
    <row r="198" spans="1:15" x14ac:dyDescent="0.3">
      <c r="A198" s="1">
        <v>1191</v>
      </c>
      <c r="B198" s="1" t="s">
        <v>8</v>
      </c>
      <c r="C198" s="2">
        <v>44940</v>
      </c>
      <c r="D198" s="2" t="str">
        <f t="shared" si="9"/>
        <v>Jan</v>
      </c>
      <c r="E198" s="2" t="str">
        <f t="shared" si="10"/>
        <v>2023</v>
      </c>
      <c r="F198" s="1">
        <v>123</v>
      </c>
      <c r="G198" s="1">
        <v>62</v>
      </c>
      <c r="H198" s="1">
        <v>29</v>
      </c>
      <c r="I198" s="1">
        <v>37</v>
      </c>
      <c r="J198" s="1">
        <v>32</v>
      </c>
      <c r="K198" s="1">
        <v>0.22600000000000001</v>
      </c>
      <c r="L198" s="1">
        <v>35</v>
      </c>
      <c r="M198" s="1">
        <v>1</v>
      </c>
      <c r="N198" s="1" t="s">
        <v>45</v>
      </c>
      <c r="O198" s="1" t="str">
        <f t="shared" si="11"/>
        <v>Young</v>
      </c>
    </row>
    <row r="199" spans="1:15" x14ac:dyDescent="0.3">
      <c r="A199" s="1">
        <v>8566</v>
      </c>
      <c r="B199" s="1" t="s">
        <v>9</v>
      </c>
      <c r="C199" s="2">
        <v>44907</v>
      </c>
      <c r="D199" s="2" t="str">
        <f t="shared" si="9"/>
        <v>Dec</v>
      </c>
      <c r="E199" s="2" t="str">
        <f t="shared" si="10"/>
        <v>2022</v>
      </c>
      <c r="F199" s="1">
        <v>96</v>
      </c>
      <c r="G199" s="1">
        <v>74</v>
      </c>
      <c r="H199" s="1">
        <v>18</v>
      </c>
      <c r="I199" s="1">
        <v>67</v>
      </c>
      <c r="J199" s="1">
        <v>33.6</v>
      </c>
      <c r="K199" s="1">
        <v>0.997</v>
      </c>
      <c r="L199" s="1">
        <v>43</v>
      </c>
      <c r="M199" s="1">
        <v>0</v>
      </c>
      <c r="N199" s="1" t="s">
        <v>46</v>
      </c>
      <c r="O199" s="1" t="str">
        <f t="shared" si="11"/>
        <v>Middle-Aged</v>
      </c>
    </row>
    <row r="200" spans="1:15" x14ac:dyDescent="0.3">
      <c r="A200" s="1">
        <v>5779</v>
      </c>
      <c r="B200" s="1" t="s">
        <v>8</v>
      </c>
      <c r="C200" s="2">
        <v>44797</v>
      </c>
      <c r="D200" s="2" t="str">
        <f t="shared" si="9"/>
        <v>Aug</v>
      </c>
      <c r="E200" s="2" t="str">
        <f t="shared" si="10"/>
        <v>2022</v>
      </c>
      <c r="F200" s="1">
        <v>102</v>
      </c>
      <c r="G200" s="1">
        <v>52</v>
      </c>
      <c r="H200" s="1">
        <v>29</v>
      </c>
      <c r="I200" s="1">
        <v>37</v>
      </c>
      <c r="J200" s="1">
        <v>25.1</v>
      </c>
      <c r="K200" s="1">
        <v>7.8E-2</v>
      </c>
      <c r="L200" s="1">
        <v>21</v>
      </c>
      <c r="M200" s="1">
        <v>0</v>
      </c>
      <c r="N200" s="1" t="s">
        <v>46</v>
      </c>
      <c r="O200" s="1" t="str">
        <f t="shared" si="11"/>
        <v>Young</v>
      </c>
    </row>
    <row r="201" spans="1:15" x14ac:dyDescent="0.3">
      <c r="A201" s="1">
        <v>5221</v>
      </c>
      <c r="B201" s="1" t="s">
        <v>8</v>
      </c>
      <c r="C201" s="2">
        <v>44616</v>
      </c>
      <c r="D201" s="2" t="str">
        <f t="shared" si="9"/>
        <v>Feb</v>
      </c>
      <c r="E201" s="2" t="str">
        <f t="shared" si="10"/>
        <v>2022</v>
      </c>
      <c r="F201" s="1">
        <v>108</v>
      </c>
      <c r="G201" s="1">
        <v>62</v>
      </c>
      <c r="H201" s="1">
        <v>32</v>
      </c>
      <c r="I201" s="1">
        <v>56</v>
      </c>
      <c r="J201" s="1">
        <v>25.2</v>
      </c>
      <c r="K201" s="1">
        <v>0.128</v>
      </c>
      <c r="L201" s="1">
        <v>21</v>
      </c>
      <c r="M201" s="1">
        <v>0</v>
      </c>
      <c r="N201" s="1" t="s">
        <v>46</v>
      </c>
      <c r="O201" s="1" t="str">
        <f t="shared" si="11"/>
        <v>Young</v>
      </c>
    </row>
    <row r="202" spans="1:15" x14ac:dyDescent="0.3">
      <c r="A202" s="1">
        <v>4793</v>
      </c>
      <c r="B202" s="1" t="s">
        <v>9</v>
      </c>
      <c r="C202" s="2">
        <v>45606</v>
      </c>
      <c r="D202" s="2" t="str">
        <f t="shared" si="9"/>
        <v>Nov</v>
      </c>
      <c r="E202" s="2" t="str">
        <f t="shared" si="10"/>
        <v>2024</v>
      </c>
      <c r="F202" s="1">
        <v>122</v>
      </c>
      <c r="G202" s="1">
        <v>78</v>
      </c>
      <c r="H202" s="1">
        <v>29</v>
      </c>
      <c r="I202" s="1">
        <v>37</v>
      </c>
      <c r="J202" s="1">
        <v>23</v>
      </c>
      <c r="K202" s="1">
        <v>0.254</v>
      </c>
      <c r="L202" s="1">
        <v>40</v>
      </c>
      <c r="M202" s="1">
        <v>0</v>
      </c>
      <c r="N202" s="1" t="s">
        <v>46</v>
      </c>
      <c r="O202" s="1" t="str">
        <f t="shared" si="11"/>
        <v>Middle-Aged</v>
      </c>
    </row>
    <row r="203" spans="1:15" x14ac:dyDescent="0.3">
      <c r="A203" s="1">
        <v>2642</v>
      </c>
      <c r="B203" s="1" t="s">
        <v>9</v>
      </c>
      <c r="C203" s="2">
        <v>44883</v>
      </c>
      <c r="D203" s="2" t="str">
        <f t="shared" si="9"/>
        <v>Nov</v>
      </c>
      <c r="E203" s="2" t="str">
        <f t="shared" si="10"/>
        <v>2022</v>
      </c>
      <c r="F203" s="1">
        <v>71</v>
      </c>
      <c r="G203" s="1">
        <v>78</v>
      </c>
      <c r="H203" s="1">
        <v>50</v>
      </c>
      <c r="I203" s="1">
        <v>45</v>
      </c>
      <c r="J203" s="1">
        <v>33.200000000000003</v>
      </c>
      <c r="K203" s="1">
        <v>0.42199999999999999</v>
      </c>
      <c r="L203" s="1">
        <v>21</v>
      </c>
      <c r="M203" s="1">
        <v>0</v>
      </c>
      <c r="N203" s="1" t="s">
        <v>46</v>
      </c>
      <c r="O203" s="1" t="str">
        <f t="shared" si="11"/>
        <v>Young</v>
      </c>
    </row>
    <row r="204" spans="1:15" x14ac:dyDescent="0.3">
      <c r="A204" s="1">
        <v>4603</v>
      </c>
      <c r="B204" s="1" t="s">
        <v>9</v>
      </c>
      <c r="C204" s="2">
        <v>44554</v>
      </c>
      <c r="D204" s="2" t="str">
        <f t="shared" si="9"/>
        <v>Dec</v>
      </c>
      <c r="E204" s="2" t="str">
        <f t="shared" si="10"/>
        <v>2021</v>
      </c>
      <c r="F204" s="1">
        <v>106</v>
      </c>
      <c r="G204" s="1">
        <v>70</v>
      </c>
      <c r="H204" s="1">
        <v>29</v>
      </c>
      <c r="I204" s="1">
        <v>37</v>
      </c>
      <c r="J204" s="1">
        <v>34.200000000000003</v>
      </c>
      <c r="K204" s="1">
        <v>0.251</v>
      </c>
      <c r="L204" s="1">
        <v>52</v>
      </c>
      <c r="M204" s="1">
        <v>0</v>
      </c>
      <c r="N204" s="1" t="s">
        <v>46</v>
      </c>
      <c r="O204" s="1" t="str">
        <f t="shared" si="11"/>
        <v>Old</v>
      </c>
    </row>
    <row r="205" spans="1:15" x14ac:dyDescent="0.3">
      <c r="A205" s="1">
        <v>4203</v>
      </c>
      <c r="B205" s="1" t="s">
        <v>8</v>
      </c>
      <c r="C205" s="2">
        <v>45150</v>
      </c>
      <c r="D205" s="2" t="str">
        <f t="shared" si="9"/>
        <v>Aug</v>
      </c>
      <c r="E205" s="2" t="str">
        <f t="shared" si="10"/>
        <v>2023</v>
      </c>
      <c r="F205" s="1">
        <v>100</v>
      </c>
      <c r="G205" s="1">
        <v>70</v>
      </c>
      <c r="H205" s="1">
        <v>52</v>
      </c>
      <c r="I205" s="1">
        <v>57</v>
      </c>
      <c r="J205" s="1">
        <v>40.5</v>
      </c>
      <c r="K205" s="1">
        <v>0.67700000000000005</v>
      </c>
      <c r="L205" s="1">
        <v>25</v>
      </c>
      <c r="M205" s="1">
        <v>0</v>
      </c>
      <c r="N205" s="1" t="s">
        <v>46</v>
      </c>
      <c r="O205" s="1" t="str">
        <f t="shared" si="11"/>
        <v>Young</v>
      </c>
    </row>
    <row r="206" spans="1:15" x14ac:dyDescent="0.3">
      <c r="A206" s="1">
        <v>3698</v>
      </c>
      <c r="B206" s="1" t="s">
        <v>8</v>
      </c>
      <c r="C206" s="2">
        <v>45276</v>
      </c>
      <c r="D206" s="2" t="str">
        <f t="shared" si="9"/>
        <v>Dec</v>
      </c>
      <c r="E206" s="2" t="str">
        <f t="shared" si="10"/>
        <v>2023</v>
      </c>
      <c r="F206" s="1">
        <v>104</v>
      </c>
      <c r="G206" s="1">
        <v>64</v>
      </c>
      <c r="H206" s="1">
        <v>23</v>
      </c>
      <c r="I206" s="1">
        <v>116</v>
      </c>
      <c r="J206" s="1">
        <v>27.8</v>
      </c>
      <c r="K206" s="1">
        <v>0.45400000000000001</v>
      </c>
      <c r="L206" s="1">
        <v>23</v>
      </c>
      <c r="M206" s="1">
        <v>0</v>
      </c>
      <c r="N206" s="1" t="s">
        <v>46</v>
      </c>
      <c r="O206" s="1" t="str">
        <f t="shared" si="11"/>
        <v>Young</v>
      </c>
    </row>
    <row r="207" spans="1:15" x14ac:dyDescent="0.3">
      <c r="A207" s="1">
        <v>6260</v>
      </c>
      <c r="B207" s="1" t="s">
        <v>9</v>
      </c>
      <c r="C207" s="2">
        <v>44949</v>
      </c>
      <c r="D207" s="2" t="str">
        <f t="shared" si="9"/>
        <v>Jan</v>
      </c>
      <c r="E207" s="2" t="str">
        <f t="shared" si="10"/>
        <v>2023</v>
      </c>
      <c r="F207" s="1">
        <v>114</v>
      </c>
      <c r="G207" s="1">
        <v>74</v>
      </c>
      <c r="H207" s="1">
        <v>29</v>
      </c>
      <c r="I207" s="1">
        <v>37</v>
      </c>
      <c r="J207" s="1">
        <v>24.9</v>
      </c>
      <c r="K207" s="1">
        <v>0.74399999999999999</v>
      </c>
      <c r="L207" s="1">
        <v>57</v>
      </c>
      <c r="M207" s="1">
        <v>0</v>
      </c>
      <c r="N207" s="1" t="s">
        <v>46</v>
      </c>
      <c r="O207" s="1" t="str">
        <f t="shared" si="11"/>
        <v>Old</v>
      </c>
    </row>
    <row r="208" spans="1:15" x14ac:dyDescent="0.3">
      <c r="A208" s="1">
        <v>3891</v>
      </c>
      <c r="B208" s="1" t="s">
        <v>8</v>
      </c>
      <c r="C208" s="2">
        <v>45406</v>
      </c>
      <c r="D208" s="2" t="str">
        <f t="shared" si="9"/>
        <v>Apr</v>
      </c>
      <c r="E208" s="2" t="str">
        <f t="shared" si="10"/>
        <v>2024</v>
      </c>
      <c r="F208" s="1">
        <v>108</v>
      </c>
      <c r="G208" s="1">
        <v>62</v>
      </c>
      <c r="H208" s="1">
        <v>10</v>
      </c>
      <c r="I208" s="1">
        <v>278</v>
      </c>
      <c r="J208" s="1">
        <v>25.3</v>
      </c>
      <c r="K208" s="1">
        <v>0.88100000000000001</v>
      </c>
      <c r="L208" s="1">
        <v>22</v>
      </c>
      <c r="M208" s="1">
        <v>0</v>
      </c>
      <c r="N208" s="1" t="s">
        <v>46</v>
      </c>
      <c r="O208" s="1" t="str">
        <f t="shared" si="11"/>
        <v>Young</v>
      </c>
    </row>
    <row r="209" spans="1:15" x14ac:dyDescent="0.3">
      <c r="A209" s="1">
        <v>8130</v>
      </c>
      <c r="B209" s="1" t="s">
        <v>8</v>
      </c>
      <c r="C209" s="2">
        <v>44915</v>
      </c>
      <c r="D209" s="2" t="str">
        <f t="shared" si="9"/>
        <v>Dec</v>
      </c>
      <c r="E209" s="2" t="str">
        <f t="shared" si="10"/>
        <v>2022</v>
      </c>
      <c r="F209" s="1">
        <v>146</v>
      </c>
      <c r="G209" s="1">
        <v>70</v>
      </c>
      <c r="H209" s="1">
        <v>29</v>
      </c>
      <c r="I209" s="1">
        <v>37</v>
      </c>
      <c r="J209" s="1">
        <v>37.9</v>
      </c>
      <c r="K209" s="1">
        <v>0.33400000000000002</v>
      </c>
      <c r="L209" s="1">
        <v>28</v>
      </c>
      <c r="M209" s="1">
        <v>1</v>
      </c>
      <c r="N209" s="1" t="s">
        <v>45</v>
      </c>
      <c r="O209" s="1" t="str">
        <f t="shared" si="11"/>
        <v>Young</v>
      </c>
    </row>
    <row r="210" spans="1:15" x14ac:dyDescent="0.3">
      <c r="A210" s="1">
        <v>2698</v>
      </c>
      <c r="B210" s="1" t="s">
        <v>8</v>
      </c>
      <c r="C210" s="2">
        <v>45269</v>
      </c>
      <c r="D210" s="2" t="str">
        <f t="shared" si="9"/>
        <v>Dec</v>
      </c>
      <c r="E210" s="2" t="str">
        <f t="shared" si="10"/>
        <v>2023</v>
      </c>
      <c r="F210" s="1">
        <v>129</v>
      </c>
      <c r="G210" s="1">
        <v>76</v>
      </c>
      <c r="H210" s="1">
        <v>28</v>
      </c>
      <c r="I210" s="1">
        <v>122</v>
      </c>
      <c r="J210" s="1">
        <v>35.9</v>
      </c>
      <c r="K210" s="1">
        <v>0.28000000000000003</v>
      </c>
      <c r="L210" s="1">
        <v>39</v>
      </c>
      <c r="M210" s="1">
        <v>0</v>
      </c>
      <c r="N210" s="1" t="s">
        <v>46</v>
      </c>
      <c r="O210" s="1" t="str">
        <f t="shared" si="11"/>
        <v>Middle-Aged</v>
      </c>
    </row>
    <row r="211" spans="1:15" x14ac:dyDescent="0.3">
      <c r="A211" s="1">
        <v>6440</v>
      </c>
      <c r="B211" s="1" t="s">
        <v>9</v>
      </c>
      <c r="C211" s="2">
        <v>45221</v>
      </c>
      <c r="D211" s="2" t="str">
        <f t="shared" si="9"/>
        <v>Oct</v>
      </c>
      <c r="E211" s="2" t="str">
        <f t="shared" si="10"/>
        <v>2023</v>
      </c>
      <c r="F211" s="1">
        <v>133</v>
      </c>
      <c r="G211" s="1">
        <v>88</v>
      </c>
      <c r="H211" s="1">
        <v>15</v>
      </c>
      <c r="I211" s="1">
        <v>155</v>
      </c>
      <c r="J211" s="1">
        <v>32.4</v>
      </c>
      <c r="K211" s="1">
        <v>0.26200000000000001</v>
      </c>
      <c r="L211" s="1">
        <v>37</v>
      </c>
      <c r="M211" s="1">
        <v>0</v>
      </c>
      <c r="N211" s="1" t="s">
        <v>46</v>
      </c>
      <c r="O211" s="1" t="str">
        <f t="shared" si="11"/>
        <v>Middle-Aged</v>
      </c>
    </row>
    <row r="212" spans="1:15" x14ac:dyDescent="0.3">
      <c r="A212" s="1">
        <v>7333</v>
      </c>
      <c r="B212" s="1" t="s">
        <v>9</v>
      </c>
      <c r="C212" s="2">
        <v>45246</v>
      </c>
      <c r="D212" s="2" t="str">
        <f t="shared" si="9"/>
        <v>Nov</v>
      </c>
      <c r="E212" s="2" t="str">
        <f t="shared" si="10"/>
        <v>2023</v>
      </c>
      <c r="F212" s="1">
        <v>161</v>
      </c>
      <c r="G212" s="1">
        <v>86</v>
      </c>
      <c r="H212" s="1">
        <v>29</v>
      </c>
      <c r="I212" s="1">
        <v>37</v>
      </c>
      <c r="J212" s="1">
        <v>30.4</v>
      </c>
      <c r="K212" s="1">
        <v>0.16500000000000001</v>
      </c>
      <c r="L212" s="1">
        <v>47</v>
      </c>
      <c r="M212" s="1">
        <v>1</v>
      </c>
      <c r="N212" s="1" t="s">
        <v>45</v>
      </c>
      <c r="O212" s="1" t="str">
        <f t="shared" si="11"/>
        <v>Middle-Aged</v>
      </c>
    </row>
    <row r="213" spans="1:15" x14ac:dyDescent="0.3">
      <c r="A213" s="1">
        <v>2487</v>
      </c>
      <c r="B213" s="1" t="s">
        <v>8</v>
      </c>
      <c r="C213" s="2">
        <v>45434</v>
      </c>
      <c r="D213" s="2" t="str">
        <f t="shared" si="9"/>
        <v>May</v>
      </c>
      <c r="E213" s="2" t="str">
        <f t="shared" si="10"/>
        <v>2024</v>
      </c>
      <c r="F213" s="1">
        <v>108</v>
      </c>
      <c r="G213" s="1">
        <v>80</v>
      </c>
      <c r="H213" s="1">
        <v>29</v>
      </c>
      <c r="I213" s="1">
        <v>37</v>
      </c>
      <c r="J213" s="1">
        <v>27</v>
      </c>
      <c r="K213" s="1">
        <v>0.25900000000000001</v>
      </c>
      <c r="L213" s="1">
        <v>52</v>
      </c>
      <c r="M213" s="1">
        <v>1</v>
      </c>
      <c r="N213" s="1" t="s">
        <v>45</v>
      </c>
      <c r="O213" s="1" t="str">
        <f t="shared" si="11"/>
        <v>Old</v>
      </c>
    </row>
    <row r="214" spans="1:15" x14ac:dyDescent="0.3">
      <c r="A214" s="1">
        <v>8604</v>
      </c>
      <c r="B214" s="1" t="s">
        <v>9</v>
      </c>
      <c r="C214" s="2">
        <v>44620</v>
      </c>
      <c r="D214" s="2" t="str">
        <f t="shared" si="9"/>
        <v>Feb</v>
      </c>
      <c r="E214" s="2" t="str">
        <f t="shared" si="10"/>
        <v>2022</v>
      </c>
      <c r="F214" s="1">
        <v>136</v>
      </c>
      <c r="G214" s="1">
        <v>74</v>
      </c>
      <c r="H214" s="1">
        <v>26</v>
      </c>
      <c r="I214" s="1">
        <v>135</v>
      </c>
      <c r="J214" s="1">
        <v>26</v>
      </c>
      <c r="K214" s="1">
        <v>0.64700000000000002</v>
      </c>
      <c r="L214" s="1">
        <v>51</v>
      </c>
      <c r="M214" s="1">
        <v>0</v>
      </c>
      <c r="N214" s="1" t="s">
        <v>46</v>
      </c>
      <c r="O214" s="1" t="str">
        <f t="shared" si="11"/>
        <v>Old</v>
      </c>
    </row>
    <row r="215" spans="1:15" x14ac:dyDescent="0.3">
      <c r="A215" s="1">
        <v>5091</v>
      </c>
      <c r="B215" s="1" t="s">
        <v>9</v>
      </c>
      <c r="C215" s="2">
        <v>44941</v>
      </c>
      <c r="D215" s="2" t="str">
        <f t="shared" si="9"/>
        <v>Jan</v>
      </c>
      <c r="E215" s="2" t="str">
        <f t="shared" si="10"/>
        <v>2023</v>
      </c>
      <c r="F215" s="1">
        <v>155</v>
      </c>
      <c r="G215" s="1">
        <v>84</v>
      </c>
      <c r="H215" s="1">
        <v>44</v>
      </c>
      <c r="I215" s="1">
        <v>545</v>
      </c>
      <c r="J215" s="1">
        <v>38.700000000000003</v>
      </c>
      <c r="K215" s="1">
        <v>0.61899999999999999</v>
      </c>
      <c r="L215" s="1">
        <v>34</v>
      </c>
      <c r="M215" s="1">
        <v>0</v>
      </c>
      <c r="N215" s="1" t="s">
        <v>46</v>
      </c>
      <c r="O215" s="1" t="str">
        <f t="shared" si="11"/>
        <v>Young</v>
      </c>
    </row>
    <row r="216" spans="1:15" x14ac:dyDescent="0.3">
      <c r="A216" s="1">
        <v>9229</v>
      </c>
      <c r="B216" s="1" t="s">
        <v>9</v>
      </c>
      <c r="C216" s="2">
        <v>44550</v>
      </c>
      <c r="D216" s="2" t="str">
        <f t="shared" si="9"/>
        <v>Dec</v>
      </c>
      <c r="E216" s="2" t="str">
        <f t="shared" si="10"/>
        <v>2021</v>
      </c>
      <c r="F216" s="1">
        <v>119</v>
      </c>
      <c r="G216" s="1">
        <v>86</v>
      </c>
      <c r="H216" s="1">
        <v>39</v>
      </c>
      <c r="I216" s="1">
        <v>220</v>
      </c>
      <c r="J216" s="1">
        <v>45.6</v>
      </c>
      <c r="K216" s="1">
        <v>0.80800000000000005</v>
      </c>
      <c r="L216" s="1">
        <v>29</v>
      </c>
      <c r="M216" s="1">
        <v>1</v>
      </c>
      <c r="N216" s="1" t="s">
        <v>45</v>
      </c>
      <c r="O216" s="1" t="str">
        <f t="shared" si="11"/>
        <v>Young</v>
      </c>
    </row>
    <row r="217" spans="1:15" x14ac:dyDescent="0.3">
      <c r="A217" s="1">
        <v>2758</v>
      </c>
      <c r="B217" s="1" t="s">
        <v>8</v>
      </c>
      <c r="C217" s="2">
        <v>44477</v>
      </c>
      <c r="D217" s="2" t="str">
        <f t="shared" si="9"/>
        <v>Oct</v>
      </c>
      <c r="E217" s="2" t="str">
        <f t="shared" si="10"/>
        <v>2021</v>
      </c>
      <c r="F217" s="1">
        <v>96</v>
      </c>
      <c r="G217" s="1">
        <v>56</v>
      </c>
      <c r="H217" s="1">
        <v>17</v>
      </c>
      <c r="I217" s="1">
        <v>49</v>
      </c>
      <c r="J217" s="1">
        <v>20.8</v>
      </c>
      <c r="K217" s="1">
        <v>0.34</v>
      </c>
      <c r="L217" s="1">
        <v>26</v>
      </c>
      <c r="M217" s="1">
        <v>0</v>
      </c>
      <c r="N217" s="1" t="s">
        <v>46</v>
      </c>
      <c r="O217" s="1" t="str">
        <f t="shared" si="11"/>
        <v>Young</v>
      </c>
    </row>
    <row r="218" spans="1:15" x14ac:dyDescent="0.3">
      <c r="A218" s="1">
        <v>7578</v>
      </c>
      <c r="B218" s="1" t="s">
        <v>9</v>
      </c>
      <c r="C218" s="2">
        <v>44963</v>
      </c>
      <c r="D218" s="2" t="str">
        <f t="shared" si="9"/>
        <v>Feb</v>
      </c>
      <c r="E218" s="2" t="str">
        <f t="shared" si="10"/>
        <v>2023</v>
      </c>
      <c r="F218" s="1">
        <v>108</v>
      </c>
      <c r="G218" s="1">
        <v>72</v>
      </c>
      <c r="H218" s="1">
        <v>43</v>
      </c>
      <c r="I218" s="1">
        <v>75</v>
      </c>
      <c r="J218" s="1">
        <v>36.1</v>
      </c>
      <c r="K218" s="1">
        <v>0.26300000000000001</v>
      </c>
      <c r="L218" s="1">
        <v>33</v>
      </c>
      <c r="M218" s="1">
        <v>0</v>
      </c>
      <c r="N218" s="1" t="s">
        <v>46</v>
      </c>
      <c r="O218" s="1" t="str">
        <f t="shared" si="11"/>
        <v>Young</v>
      </c>
    </row>
    <row r="219" spans="1:15" x14ac:dyDescent="0.3">
      <c r="A219" s="1">
        <v>4402</v>
      </c>
      <c r="B219" s="1" t="s">
        <v>8</v>
      </c>
      <c r="C219" s="2">
        <v>44945</v>
      </c>
      <c r="D219" s="2" t="str">
        <f t="shared" si="9"/>
        <v>Jan</v>
      </c>
      <c r="E219" s="2" t="str">
        <f t="shared" si="10"/>
        <v>2023</v>
      </c>
      <c r="F219" s="1">
        <v>78</v>
      </c>
      <c r="G219" s="1">
        <v>88</v>
      </c>
      <c r="H219" s="1">
        <v>29</v>
      </c>
      <c r="I219" s="1">
        <v>40</v>
      </c>
      <c r="J219" s="1">
        <v>36.9</v>
      </c>
      <c r="K219" s="1">
        <v>0.434</v>
      </c>
      <c r="L219" s="1">
        <v>21</v>
      </c>
      <c r="M219" s="1">
        <v>0</v>
      </c>
      <c r="N219" s="1" t="s">
        <v>46</v>
      </c>
      <c r="O219" s="1" t="str">
        <f t="shared" si="11"/>
        <v>Young</v>
      </c>
    </row>
    <row r="220" spans="1:15" x14ac:dyDescent="0.3">
      <c r="A220" s="1">
        <v>2903</v>
      </c>
      <c r="B220" s="1" t="s">
        <v>8</v>
      </c>
      <c r="C220" s="2">
        <v>45524</v>
      </c>
      <c r="D220" s="2" t="str">
        <f t="shared" si="9"/>
        <v>Aug</v>
      </c>
      <c r="E220" s="2" t="str">
        <f t="shared" si="10"/>
        <v>2024</v>
      </c>
      <c r="F220" s="1">
        <v>107</v>
      </c>
      <c r="G220" s="1">
        <v>62</v>
      </c>
      <c r="H220" s="1">
        <v>30</v>
      </c>
      <c r="I220" s="1">
        <v>74</v>
      </c>
      <c r="J220" s="1">
        <v>36.6</v>
      </c>
      <c r="K220" s="1">
        <v>0.75700000000000001</v>
      </c>
      <c r="L220" s="1">
        <v>25</v>
      </c>
      <c r="M220" s="1">
        <v>1</v>
      </c>
      <c r="N220" s="1" t="s">
        <v>45</v>
      </c>
      <c r="O220" s="1" t="str">
        <f t="shared" si="11"/>
        <v>Young</v>
      </c>
    </row>
    <row r="221" spans="1:15" x14ac:dyDescent="0.3">
      <c r="A221" s="1">
        <v>1792</v>
      </c>
      <c r="B221" s="1" t="s">
        <v>8</v>
      </c>
      <c r="C221" s="2">
        <v>45309</v>
      </c>
      <c r="D221" s="2" t="str">
        <f t="shared" si="9"/>
        <v>Jan</v>
      </c>
      <c r="E221" s="2" t="str">
        <f t="shared" si="10"/>
        <v>2024</v>
      </c>
      <c r="F221" s="1">
        <v>128</v>
      </c>
      <c r="G221" s="1">
        <v>78</v>
      </c>
      <c r="H221" s="1">
        <v>37</v>
      </c>
      <c r="I221" s="1">
        <v>182</v>
      </c>
      <c r="J221" s="1">
        <v>43.3</v>
      </c>
      <c r="K221" s="1">
        <v>1.224</v>
      </c>
      <c r="L221" s="1">
        <v>31</v>
      </c>
      <c r="M221" s="1">
        <v>1</v>
      </c>
      <c r="N221" s="1" t="s">
        <v>45</v>
      </c>
      <c r="O221" s="1" t="str">
        <f t="shared" si="11"/>
        <v>Young</v>
      </c>
    </row>
    <row r="222" spans="1:15" x14ac:dyDescent="0.3">
      <c r="A222" s="1">
        <v>5595</v>
      </c>
      <c r="B222" s="1" t="s">
        <v>9</v>
      </c>
      <c r="C222" s="2">
        <v>44380</v>
      </c>
      <c r="D222" s="2" t="str">
        <f t="shared" si="9"/>
        <v>Jul</v>
      </c>
      <c r="E222" s="2" t="str">
        <f t="shared" si="10"/>
        <v>2021</v>
      </c>
      <c r="F222" s="1">
        <v>128</v>
      </c>
      <c r="G222" s="1">
        <v>48</v>
      </c>
      <c r="H222" s="1">
        <v>45</v>
      </c>
      <c r="I222" s="1">
        <v>194</v>
      </c>
      <c r="J222" s="1">
        <v>40.5</v>
      </c>
      <c r="K222" s="1">
        <v>0.61299999999999999</v>
      </c>
      <c r="L222" s="1">
        <v>24</v>
      </c>
      <c r="M222" s="1">
        <v>1</v>
      </c>
      <c r="N222" s="1" t="s">
        <v>45</v>
      </c>
      <c r="O222" s="1" t="str">
        <f t="shared" si="11"/>
        <v>Young</v>
      </c>
    </row>
    <row r="223" spans="1:15" x14ac:dyDescent="0.3">
      <c r="A223" s="1">
        <v>1762</v>
      </c>
      <c r="B223" s="1" t="s">
        <v>8</v>
      </c>
      <c r="C223" s="2">
        <v>44404</v>
      </c>
      <c r="D223" s="2" t="str">
        <f t="shared" si="9"/>
        <v>Jul</v>
      </c>
      <c r="E223" s="2" t="str">
        <f t="shared" si="10"/>
        <v>2021</v>
      </c>
      <c r="F223" s="1">
        <v>161</v>
      </c>
      <c r="G223" s="1">
        <v>50</v>
      </c>
      <c r="H223" s="1">
        <v>29</v>
      </c>
      <c r="I223" s="1">
        <v>37</v>
      </c>
      <c r="J223" s="1">
        <v>21.9</v>
      </c>
      <c r="K223" s="1">
        <v>0.254</v>
      </c>
      <c r="L223" s="1">
        <v>65</v>
      </c>
      <c r="M223" s="1">
        <v>0</v>
      </c>
      <c r="N223" s="1" t="s">
        <v>46</v>
      </c>
      <c r="O223" s="1" t="str">
        <f t="shared" si="11"/>
        <v>Old</v>
      </c>
    </row>
    <row r="224" spans="1:15" x14ac:dyDescent="0.3">
      <c r="A224" s="1">
        <v>1973</v>
      </c>
      <c r="B224" s="1" t="s">
        <v>8</v>
      </c>
      <c r="C224" s="2">
        <v>45201</v>
      </c>
      <c r="D224" s="2" t="str">
        <f t="shared" si="9"/>
        <v>Oct</v>
      </c>
      <c r="E224" s="2" t="str">
        <f t="shared" si="10"/>
        <v>2023</v>
      </c>
      <c r="F224" s="1">
        <v>151</v>
      </c>
      <c r="G224" s="1">
        <v>62</v>
      </c>
      <c r="H224" s="1">
        <v>31</v>
      </c>
      <c r="I224" s="1">
        <v>120</v>
      </c>
      <c r="J224" s="1">
        <v>35.5</v>
      </c>
      <c r="K224" s="1">
        <v>0.69199999999999995</v>
      </c>
      <c r="L224" s="1">
        <v>28</v>
      </c>
      <c r="M224" s="1">
        <v>0</v>
      </c>
      <c r="N224" s="1" t="s">
        <v>46</v>
      </c>
      <c r="O224" s="1" t="str">
        <f t="shared" si="11"/>
        <v>Young</v>
      </c>
    </row>
    <row r="225" spans="1:15" x14ac:dyDescent="0.3">
      <c r="A225" s="1">
        <v>7133</v>
      </c>
      <c r="B225" s="1" t="s">
        <v>8</v>
      </c>
      <c r="C225" s="2">
        <v>45239</v>
      </c>
      <c r="D225" s="2" t="str">
        <f t="shared" si="9"/>
        <v>Nov</v>
      </c>
      <c r="E225" s="2" t="str">
        <f t="shared" si="10"/>
        <v>2023</v>
      </c>
      <c r="F225" s="1">
        <v>146</v>
      </c>
      <c r="G225" s="1">
        <v>70</v>
      </c>
      <c r="H225" s="1">
        <v>38</v>
      </c>
      <c r="I225" s="1">
        <v>360</v>
      </c>
      <c r="J225" s="1">
        <v>28</v>
      </c>
      <c r="K225" s="1">
        <v>0.33700000000000002</v>
      </c>
      <c r="L225" s="1">
        <v>29</v>
      </c>
      <c r="M225" s="1">
        <v>1</v>
      </c>
      <c r="N225" s="1" t="s">
        <v>45</v>
      </c>
      <c r="O225" s="1" t="str">
        <f t="shared" si="11"/>
        <v>Young</v>
      </c>
    </row>
    <row r="226" spans="1:15" x14ac:dyDescent="0.3">
      <c r="A226" s="1">
        <v>7167</v>
      </c>
      <c r="B226" s="1" t="s">
        <v>8</v>
      </c>
      <c r="C226" s="2">
        <v>44957</v>
      </c>
      <c r="D226" s="2" t="str">
        <f t="shared" si="9"/>
        <v>Jan</v>
      </c>
      <c r="E226" s="2" t="str">
        <f t="shared" si="10"/>
        <v>2023</v>
      </c>
      <c r="F226" s="1">
        <v>126</v>
      </c>
      <c r="G226" s="1">
        <v>84</v>
      </c>
      <c r="H226" s="1">
        <v>29</v>
      </c>
      <c r="I226" s="1">
        <v>215</v>
      </c>
      <c r="J226" s="1">
        <v>30.7</v>
      </c>
      <c r="K226" s="1">
        <v>0.52</v>
      </c>
      <c r="L226" s="1">
        <v>24</v>
      </c>
      <c r="M226" s="1">
        <v>0</v>
      </c>
      <c r="N226" s="1" t="s">
        <v>46</v>
      </c>
      <c r="O226" s="1" t="str">
        <f t="shared" si="11"/>
        <v>Young</v>
      </c>
    </row>
    <row r="227" spans="1:15" x14ac:dyDescent="0.3">
      <c r="A227" s="1">
        <v>9869</v>
      </c>
      <c r="B227" s="1" t="s">
        <v>8</v>
      </c>
      <c r="C227" s="2">
        <v>44586</v>
      </c>
      <c r="D227" s="2" t="str">
        <f t="shared" si="9"/>
        <v>Jan</v>
      </c>
      <c r="E227" s="2" t="str">
        <f t="shared" si="10"/>
        <v>2022</v>
      </c>
      <c r="F227" s="1">
        <v>100</v>
      </c>
      <c r="G227" s="1">
        <v>78</v>
      </c>
      <c r="H227" s="1">
        <v>25</v>
      </c>
      <c r="I227" s="1">
        <v>184</v>
      </c>
      <c r="J227" s="1">
        <v>36.6</v>
      </c>
      <c r="K227" s="1">
        <v>0.41199999999999998</v>
      </c>
      <c r="L227" s="1">
        <v>46</v>
      </c>
      <c r="M227" s="1">
        <v>1</v>
      </c>
      <c r="N227" s="1" t="s">
        <v>45</v>
      </c>
      <c r="O227" s="1" t="str">
        <f t="shared" si="11"/>
        <v>Middle-Aged</v>
      </c>
    </row>
    <row r="228" spans="1:15" x14ac:dyDescent="0.3">
      <c r="A228" s="1">
        <v>8280</v>
      </c>
      <c r="B228" s="1" t="s">
        <v>8</v>
      </c>
      <c r="C228" s="2">
        <v>45600</v>
      </c>
      <c r="D228" s="2" t="str">
        <f t="shared" si="9"/>
        <v>Nov</v>
      </c>
      <c r="E228" s="2" t="str">
        <f t="shared" si="10"/>
        <v>2024</v>
      </c>
      <c r="F228" s="1">
        <v>112</v>
      </c>
      <c r="G228" s="1">
        <v>72</v>
      </c>
      <c r="H228" s="1">
        <v>29</v>
      </c>
      <c r="I228" s="1">
        <v>37</v>
      </c>
      <c r="J228" s="1">
        <v>23.6</v>
      </c>
      <c r="K228" s="1">
        <v>0.84</v>
      </c>
      <c r="L228" s="1">
        <v>58</v>
      </c>
      <c r="M228" s="1">
        <v>0</v>
      </c>
      <c r="N228" s="1" t="s">
        <v>46</v>
      </c>
      <c r="O228" s="1" t="str">
        <f t="shared" si="11"/>
        <v>Old</v>
      </c>
    </row>
    <row r="229" spans="1:15" x14ac:dyDescent="0.3">
      <c r="A229" s="1">
        <v>1057</v>
      </c>
      <c r="B229" s="1" t="s">
        <v>8</v>
      </c>
      <c r="C229" s="2">
        <v>44534</v>
      </c>
      <c r="D229" s="2" t="str">
        <f t="shared" si="9"/>
        <v>Dec</v>
      </c>
      <c r="E229" s="2" t="str">
        <f t="shared" si="10"/>
        <v>2021</v>
      </c>
      <c r="F229" s="1">
        <v>144</v>
      </c>
      <c r="G229" s="1">
        <v>58</v>
      </c>
      <c r="H229" s="1">
        <v>33</v>
      </c>
      <c r="I229" s="1">
        <v>135</v>
      </c>
      <c r="J229" s="1">
        <v>31.6</v>
      </c>
      <c r="K229" s="1">
        <v>0.42199999999999999</v>
      </c>
      <c r="L229" s="1">
        <v>25</v>
      </c>
      <c r="M229" s="1">
        <v>1</v>
      </c>
      <c r="N229" s="1" t="s">
        <v>45</v>
      </c>
      <c r="O229" s="1" t="str">
        <f t="shared" si="11"/>
        <v>Young</v>
      </c>
    </row>
    <row r="230" spans="1:15" x14ac:dyDescent="0.3">
      <c r="A230" s="1">
        <v>8147</v>
      </c>
      <c r="B230" s="1" t="s">
        <v>9</v>
      </c>
      <c r="C230" s="2">
        <v>44908</v>
      </c>
      <c r="D230" s="2" t="str">
        <f t="shared" si="9"/>
        <v>Dec</v>
      </c>
      <c r="E230" s="2" t="str">
        <f t="shared" si="10"/>
        <v>2022</v>
      </c>
      <c r="F230" s="1">
        <v>77</v>
      </c>
      <c r="G230" s="1">
        <v>82</v>
      </c>
      <c r="H230" s="1">
        <v>41</v>
      </c>
      <c r="I230" s="1">
        <v>42</v>
      </c>
      <c r="J230" s="1">
        <v>35.799999999999997</v>
      </c>
      <c r="K230" s="1">
        <v>0.156</v>
      </c>
      <c r="L230" s="1">
        <v>35</v>
      </c>
      <c r="M230" s="1">
        <v>0</v>
      </c>
      <c r="N230" s="1" t="s">
        <v>46</v>
      </c>
      <c r="O230" s="1" t="str">
        <f t="shared" si="11"/>
        <v>Young</v>
      </c>
    </row>
    <row r="231" spans="1:15" x14ac:dyDescent="0.3">
      <c r="A231" s="1">
        <v>1470</v>
      </c>
      <c r="B231" s="1" t="s">
        <v>9</v>
      </c>
      <c r="C231" s="2">
        <v>45501</v>
      </c>
      <c r="D231" s="2" t="str">
        <f t="shared" si="9"/>
        <v>Jul</v>
      </c>
      <c r="E231" s="2" t="str">
        <f t="shared" si="10"/>
        <v>2024</v>
      </c>
      <c r="F231" s="1">
        <v>115</v>
      </c>
      <c r="G231" s="1">
        <v>98</v>
      </c>
      <c r="H231" s="1">
        <v>29</v>
      </c>
      <c r="I231" s="1">
        <v>37</v>
      </c>
      <c r="J231" s="1">
        <v>52.9</v>
      </c>
      <c r="K231" s="1">
        <v>0.20899999999999999</v>
      </c>
      <c r="L231" s="1">
        <v>28</v>
      </c>
      <c r="M231" s="1">
        <v>1</v>
      </c>
      <c r="N231" s="1" t="s">
        <v>45</v>
      </c>
      <c r="O231" s="1" t="str">
        <f t="shared" si="11"/>
        <v>Young</v>
      </c>
    </row>
    <row r="232" spans="1:15" x14ac:dyDescent="0.3">
      <c r="A232" s="1">
        <v>4039</v>
      </c>
      <c r="B232" s="1" t="s">
        <v>9</v>
      </c>
      <c r="C232" s="2">
        <v>45336</v>
      </c>
      <c r="D232" s="2" t="str">
        <f t="shared" si="9"/>
        <v>Feb</v>
      </c>
      <c r="E232" s="2" t="str">
        <f t="shared" si="10"/>
        <v>2024</v>
      </c>
      <c r="F232" s="1">
        <v>150</v>
      </c>
      <c r="G232" s="1">
        <v>76</v>
      </c>
      <c r="H232" s="1">
        <v>29</v>
      </c>
      <c r="I232" s="1">
        <v>37</v>
      </c>
      <c r="J232" s="1">
        <v>21</v>
      </c>
      <c r="K232" s="1">
        <v>0.20699999999999999</v>
      </c>
      <c r="L232" s="1">
        <v>37</v>
      </c>
      <c r="M232" s="1">
        <v>0</v>
      </c>
      <c r="N232" s="1" t="s">
        <v>46</v>
      </c>
      <c r="O232" s="1" t="str">
        <f t="shared" si="11"/>
        <v>Middle-Aged</v>
      </c>
    </row>
    <row r="233" spans="1:15" x14ac:dyDescent="0.3">
      <c r="A233" s="1">
        <v>3553</v>
      </c>
      <c r="B233" s="1" t="s">
        <v>8</v>
      </c>
      <c r="C233" s="2">
        <v>44943</v>
      </c>
      <c r="D233" s="2" t="str">
        <f t="shared" si="9"/>
        <v>Jan</v>
      </c>
      <c r="E233" s="2" t="str">
        <f t="shared" si="10"/>
        <v>2023</v>
      </c>
      <c r="F233" s="1">
        <v>120</v>
      </c>
      <c r="G233" s="1">
        <v>76</v>
      </c>
      <c r="H233" s="1">
        <v>37</v>
      </c>
      <c r="I233" s="1">
        <v>105</v>
      </c>
      <c r="J233" s="1">
        <v>39.700000000000003</v>
      </c>
      <c r="K233" s="1">
        <v>0.215</v>
      </c>
      <c r="L233" s="1">
        <v>29</v>
      </c>
      <c r="M233" s="1">
        <v>0</v>
      </c>
      <c r="N233" s="1" t="s">
        <v>46</v>
      </c>
      <c r="O233" s="1" t="str">
        <f t="shared" si="11"/>
        <v>Young</v>
      </c>
    </row>
    <row r="234" spans="1:15" x14ac:dyDescent="0.3">
      <c r="A234" s="1">
        <v>9954</v>
      </c>
      <c r="B234" s="1" t="s">
        <v>8</v>
      </c>
      <c r="C234" s="2">
        <v>45610</v>
      </c>
      <c r="D234" s="2" t="str">
        <f t="shared" si="9"/>
        <v>Nov</v>
      </c>
      <c r="E234" s="2" t="str">
        <f t="shared" si="10"/>
        <v>2024</v>
      </c>
      <c r="F234" s="1">
        <v>161</v>
      </c>
      <c r="G234" s="1">
        <v>68</v>
      </c>
      <c r="H234" s="1">
        <v>23</v>
      </c>
      <c r="I234" s="1">
        <v>132</v>
      </c>
      <c r="J234" s="1">
        <v>25.5</v>
      </c>
      <c r="K234" s="1">
        <v>0.32600000000000001</v>
      </c>
      <c r="L234" s="1">
        <v>47</v>
      </c>
      <c r="M234" s="1">
        <v>1</v>
      </c>
      <c r="N234" s="1" t="s">
        <v>45</v>
      </c>
      <c r="O234" s="1" t="str">
        <f t="shared" si="11"/>
        <v>Middle-Aged</v>
      </c>
    </row>
    <row r="235" spans="1:15" x14ac:dyDescent="0.3">
      <c r="A235" s="1">
        <v>9145</v>
      </c>
      <c r="B235" s="1" t="s">
        <v>8</v>
      </c>
      <c r="C235" s="2">
        <v>44933</v>
      </c>
      <c r="D235" s="2" t="str">
        <f t="shared" si="9"/>
        <v>Jan</v>
      </c>
      <c r="E235" s="2" t="str">
        <f t="shared" si="10"/>
        <v>2023</v>
      </c>
      <c r="F235" s="1">
        <v>137</v>
      </c>
      <c r="G235" s="1">
        <v>68</v>
      </c>
      <c r="H235" s="1">
        <v>14</v>
      </c>
      <c r="I235" s="1">
        <v>148</v>
      </c>
      <c r="J235" s="1">
        <v>24.8</v>
      </c>
      <c r="K235" s="1">
        <v>0.14299999999999999</v>
      </c>
      <c r="L235" s="1">
        <v>21</v>
      </c>
      <c r="M235" s="1">
        <v>0</v>
      </c>
      <c r="N235" s="1" t="s">
        <v>46</v>
      </c>
      <c r="O235" s="1" t="str">
        <f t="shared" si="11"/>
        <v>Young</v>
      </c>
    </row>
    <row r="236" spans="1:15" x14ac:dyDescent="0.3">
      <c r="A236" s="1">
        <v>4858</v>
      </c>
      <c r="B236" s="1" t="s">
        <v>8</v>
      </c>
      <c r="C236" s="2">
        <v>44486</v>
      </c>
      <c r="D236" s="2" t="str">
        <f t="shared" si="9"/>
        <v>Oct</v>
      </c>
      <c r="E236" s="2" t="str">
        <f t="shared" si="10"/>
        <v>2021</v>
      </c>
      <c r="F236" s="1">
        <v>128</v>
      </c>
      <c r="G236" s="1">
        <v>68</v>
      </c>
      <c r="H236" s="1">
        <v>19</v>
      </c>
      <c r="I236" s="1">
        <v>180</v>
      </c>
      <c r="J236" s="1">
        <v>30.5</v>
      </c>
      <c r="K236" s="1">
        <v>1.391</v>
      </c>
      <c r="L236" s="1">
        <v>25</v>
      </c>
      <c r="M236" s="1">
        <v>1</v>
      </c>
      <c r="N236" s="1" t="s">
        <v>45</v>
      </c>
      <c r="O236" s="1" t="str">
        <f t="shared" si="11"/>
        <v>Young</v>
      </c>
    </row>
    <row r="237" spans="1:15" x14ac:dyDescent="0.3">
      <c r="A237" s="1">
        <v>3661</v>
      </c>
      <c r="B237" s="1" t="s">
        <v>8</v>
      </c>
      <c r="C237" s="2">
        <v>45256</v>
      </c>
      <c r="D237" s="2" t="str">
        <f t="shared" si="9"/>
        <v>Nov</v>
      </c>
      <c r="E237" s="2" t="str">
        <f t="shared" si="10"/>
        <v>2023</v>
      </c>
      <c r="F237" s="1">
        <v>124</v>
      </c>
      <c r="G237" s="1">
        <v>68</v>
      </c>
      <c r="H237" s="1">
        <v>28</v>
      </c>
      <c r="I237" s="1">
        <v>205</v>
      </c>
      <c r="J237" s="1">
        <v>32.9</v>
      </c>
      <c r="K237" s="1">
        <v>0.875</v>
      </c>
      <c r="L237" s="1">
        <v>30</v>
      </c>
      <c r="M237" s="1">
        <v>1</v>
      </c>
      <c r="N237" s="1" t="s">
        <v>45</v>
      </c>
      <c r="O237" s="1" t="str">
        <f t="shared" si="11"/>
        <v>Young</v>
      </c>
    </row>
    <row r="238" spans="1:15" x14ac:dyDescent="0.3">
      <c r="A238" s="1">
        <v>2979</v>
      </c>
      <c r="B238" s="1" t="s">
        <v>8</v>
      </c>
      <c r="C238" s="2">
        <v>45169</v>
      </c>
      <c r="D238" s="2" t="str">
        <f t="shared" si="9"/>
        <v>Aug</v>
      </c>
      <c r="E238" s="2" t="str">
        <f t="shared" si="10"/>
        <v>2023</v>
      </c>
      <c r="F238" s="1">
        <v>106</v>
      </c>
      <c r="G238" s="1">
        <v>70</v>
      </c>
      <c r="H238" s="1">
        <v>37</v>
      </c>
      <c r="I238" s="1">
        <v>148</v>
      </c>
      <c r="J238" s="1">
        <v>39.4</v>
      </c>
      <c r="K238" s="1">
        <v>0.60499999999999998</v>
      </c>
      <c r="L238" s="1">
        <v>22</v>
      </c>
      <c r="M238" s="1">
        <v>0</v>
      </c>
      <c r="N238" s="1" t="s">
        <v>46</v>
      </c>
      <c r="O238" s="1" t="str">
        <f t="shared" si="11"/>
        <v>Young</v>
      </c>
    </row>
    <row r="239" spans="1:15" x14ac:dyDescent="0.3">
      <c r="A239" s="1">
        <v>3675</v>
      </c>
      <c r="B239" s="1" t="s">
        <v>8</v>
      </c>
      <c r="C239" s="2">
        <v>44274</v>
      </c>
      <c r="D239" s="2" t="str">
        <f t="shared" si="9"/>
        <v>Mar</v>
      </c>
      <c r="E239" s="2" t="str">
        <f t="shared" si="10"/>
        <v>2021</v>
      </c>
      <c r="F239" s="1">
        <v>155</v>
      </c>
      <c r="G239" s="1">
        <v>74</v>
      </c>
      <c r="H239" s="1">
        <v>17</v>
      </c>
      <c r="I239" s="1">
        <v>96</v>
      </c>
      <c r="J239" s="1">
        <v>26.6</v>
      </c>
      <c r="K239" s="1">
        <v>0.433</v>
      </c>
      <c r="L239" s="1">
        <v>27</v>
      </c>
      <c r="M239" s="1">
        <v>1</v>
      </c>
      <c r="N239" s="1" t="s">
        <v>45</v>
      </c>
      <c r="O239" s="1" t="str">
        <f t="shared" si="11"/>
        <v>Young</v>
      </c>
    </row>
    <row r="240" spans="1:15" x14ac:dyDescent="0.3">
      <c r="A240" s="1">
        <v>3889</v>
      </c>
      <c r="B240" s="1" t="s">
        <v>9</v>
      </c>
      <c r="C240" s="2">
        <v>44578</v>
      </c>
      <c r="D240" s="2" t="str">
        <f t="shared" si="9"/>
        <v>Jan</v>
      </c>
      <c r="E240" s="2" t="str">
        <f t="shared" si="10"/>
        <v>2022</v>
      </c>
      <c r="F240" s="1">
        <v>113</v>
      </c>
      <c r="G240" s="1">
        <v>50</v>
      </c>
      <c r="H240" s="1">
        <v>10</v>
      </c>
      <c r="I240" s="1">
        <v>85</v>
      </c>
      <c r="J240" s="1">
        <v>29.5</v>
      </c>
      <c r="K240" s="1">
        <v>0.626</v>
      </c>
      <c r="L240" s="1">
        <v>25</v>
      </c>
      <c r="M240" s="1">
        <v>0</v>
      </c>
      <c r="N240" s="1" t="s">
        <v>46</v>
      </c>
      <c r="O240" s="1" t="str">
        <f t="shared" si="11"/>
        <v>Young</v>
      </c>
    </row>
    <row r="241" spans="1:15" x14ac:dyDescent="0.3">
      <c r="A241" s="1">
        <v>4562</v>
      </c>
      <c r="B241" s="1" t="s">
        <v>8</v>
      </c>
      <c r="C241" s="2">
        <v>45168</v>
      </c>
      <c r="D241" s="2" t="str">
        <f t="shared" si="9"/>
        <v>Aug</v>
      </c>
      <c r="E241" s="2" t="str">
        <f t="shared" si="10"/>
        <v>2023</v>
      </c>
      <c r="F241" s="1">
        <v>112</v>
      </c>
      <c r="G241" s="1">
        <v>68</v>
      </c>
      <c r="H241" s="1">
        <v>22</v>
      </c>
      <c r="I241" s="1">
        <v>94</v>
      </c>
      <c r="J241" s="1">
        <v>34.1</v>
      </c>
      <c r="K241" s="1">
        <v>0.315</v>
      </c>
      <c r="L241" s="1">
        <v>26</v>
      </c>
      <c r="M241" s="1">
        <v>0</v>
      </c>
      <c r="N241" s="1" t="s">
        <v>46</v>
      </c>
      <c r="O241" s="1" t="str">
        <f t="shared" si="11"/>
        <v>Young</v>
      </c>
    </row>
    <row r="242" spans="1:15" x14ac:dyDescent="0.3">
      <c r="A242" s="1">
        <v>3110</v>
      </c>
      <c r="B242" s="1" t="s">
        <v>9</v>
      </c>
      <c r="C242" s="2">
        <v>45323</v>
      </c>
      <c r="D242" s="2" t="str">
        <f t="shared" si="9"/>
        <v>Feb</v>
      </c>
      <c r="E242" s="2" t="str">
        <f t="shared" si="10"/>
        <v>2024</v>
      </c>
      <c r="F242" s="1">
        <v>99</v>
      </c>
      <c r="G242" s="1">
        <v>80</v>
      </c>
      <c r="H242" s="1">
        <v>11</v>
      </c>
      <c r="I242" s="1">
        <v>64</v>
      </c>
      <c r="J242" s="1">
        <v>19.3</v>
      </c>
      <c r="K242" s="1">
        <v>0.28399999999999997</v>
      </c>
      <c r="L242" s="1">
        <v>30</v>
      </c>
      <c r="M242" s="1">
        <v>0</v>
      </c>
      <c r="N242" s="1" t="s">
        <v>46</v>
      </c>
      <c r="O242" s="1" t="str">
        <f t="shared" si="11"/>
        <v>Young</v>
      </c>
    </row>
    <row r="243" spans="1:15" x14ac:dyDescent="0.3">
      <c r="A243" s="1">
        <v>9910</v>
      </c>
      <c r="B243" s="1" t="s">
        <v>9</v>
      </c>
      <c r="C243" s="2">
        <v>45403</v>
      </c>
      <c r="D243" s="2" t="str">
        <f t="shared" si="9"/>
        <v>Apr</v>
      </c>
      <c r="E243" s="2" t="str">
        <f t="shared" si="10"/>
        <v>2024</v>
      </c>
      <c r="F243" s="1">
        <v>182</v>
      </c>
      <c r="G243" s="1">
        <v>74</v>
      </c>
      <c r="H243" s="1">
        <v>29</v>
      </c>
      <c r="I243" s="1">
        <v>37</v>
      </c>
      <c r="J243" s="1">
        <v>30.5</v>
      </c>
      <c r="K243" s="1">
        <v>0.34499999999999997</v>
      </c>
      <c r="L243" s="1">
        <v>29</v>
      </c>
      <c r="M243" s="1">
        <v>1</v>
      </c>
      <c r="N243" s="1" t="s">
        <v>45</v>
      </c>
      <c r="O243" s="1" t="str">
        <f t="shared" si="11"/>
        <v>Young</v>
      </c>
    </row>
    <row r="244" spans="1:15" x14ac:dyDescent="0.3">
      <c r="A244" s="1">
        <v>9848</v>
      </c>
      <c r="B244" s="1" t="s">
        <v>9</v>
      </c>
      <c r="C244" s="2">
        <v>45258</v>
      </c>
      <c r="D244" s="2" t="str">
        <f t="shared" si="9"/>
        <v>Nov</v>
      </c>
      <c r="E244" s="2" t="str">
        <f t="shared" si="10"/>
        <v>2023</v>
      </c>
      <c r="F244" s="1">
        <v>115</v>
      </c>
      <c r="G244" s="1">
        <v>66</v>
      </c>
      <c r="H244" s="1">
        <v>39</v>
      </c>
      <c r="I244" s="1">
        <v>140</v>
      </c>
      <c r="J244" s="1">
        <v>38.1</v>
      </c>
      <c r="K244" s="1">
        <v>0.15</v>
      </c>
      <c r="L244" s="1">
        <v>28</v>
      </c>
      <c r="M244" s="1">
        <v>0</v>
      </c>
      <c r="N244" s="1" t="s">
        <v>46</v>
      </c>
      <c r="O244" s="1" t="str">
        <f t="shared" si="11"/>
        <v>Young</v>
      </c>
    </row>
    <row r="245" spans="1:15" x14ac:dyDescent="0.3">
      <c r="A245" s="1">
        <v>2940</v>
      </c>
      <c r="B245" s="1" t="s">
        <v>8</v>
      </c>
      <c r="C245" s="2">
        <v>44206</v>
      </c>
      <c r="D245" s="2" t="str">
        <f t="shared" si="9"/>
        <v>Jan</v>
      </c>
      <c r="E245" s="2" t="str">
        <f t="shared" si="10"/>
        <v>2021</v>
      </c>
      <c r="F245" s="1">
        <v>194</v>
      </c>
      <c r="G245" s="1">
        <v>78</v>
      </c>
      <c r="H245" s="1">
        <v>29</v>
      </c>
      <c r="I245" s="1">
        <v>37</v>
      </c>
      <c r="J245" s="1">
        <v>23.5</v>
      </c>
      <c r="K245" s="1">
        <v>0.129</v>
      </c>
      <c r="L245" s="1">
        <v>59</v>
      </c>
      <c r="M245" s="1">
        <v>1</v>
      </c>
      <c r="N245" s="1" t="s">
        <v>45</v>
      </c>
      <c r="O245" s="1" t="str">
        <f t="shared" si="11"/>
        <v>Old</v>
      </c>
    </row>
    <row r="246" spans="1:15" x14ac:dyDescent="0.3">
      <c r="A246" s="1">
        <v>3517</v>
      </c>
      <c r="B246" s="1" t="s">
        <v>8</v>
      </c>
      <c r="C246" s="2">
        <v>44250</v>
      </c>
      <c r="D246" s="2" t="str">
        <f t="shared" si="9"/>
        <v>Feb</v>
      </c>
      <c r="E246" s="2" t="str">
        <f t="shared" si="10"/>
        <v>2021</v>
      </c>
      <c r="F246" s="1">
        <v>129</v>
      </c>
      <c r="G246" s="1">
        <v>60</v>
      </c>
      <c r="H246" s="1">
        <v>12</v>
      </c>
      <c r="I246" s="1">
        <v>231</v>
      </c>
      <c r="J246" s="1">
        <v>27.5</v>
      </c>
      <c r="K246" s="1">
        <v>0.52700000000000002</v>
      </c>
      <c r="L246" s="1">
        <v>31</v>
      </c>
      <c r="M246" s="1">
        <v>0</v>
      </c>
      <c r="N246" s="1" t="s">
        <v>46</v>
      </c>
      <c r="O246" s="1" t="str">
        <f t="shared" si="11"/>
        <v>Young</v>
      </c>
    </row>
    <row r="247" spans="1:15" x14ac:dyDescent="0.3">
      <c r="A247" s="1">
        <v>3781</v>
      </c>
      <c r="B247" s="1" t="s">
        <v>9</v>
      </c>
      <c r="C247" s="2">
        <v>44866</v>
      </c>
      <c r="D247" s="2" t="str">
        <f t="shared" si="9"/>
        <v>Nov</v>
      </c>
      <c r="E247" s="2" t="str">
        <f t="shared" si="10"/>
        <v>2022</v>
      </c>
      <c r="F247" s="1">
        <v>152</v>
      </c>
      <c r="G247" s="1">
        <v>90</v>
      </c>
      <c r="H247" s="1">
        <v>33</v>
      </c>
      <c r="I247" s="1">
        <v>29</v>
      </c>
      <c r="J247" s="1">
        <v>26.8</v>
      </c>
      <c r="K247" s="1">
        <v>0.73099999999999998</v>
      </c>
      <c r="L247" s="1">
        <v>43</v>
      </c>
      <c r="M247" s="1">
        <v>1</v>
      </c>
      <c r="N247" s="1" t="s">
        <v>45</v>
      </c>
      <c r="O247" s="1" t="str">
        <f t="shared" si="11"/>
        <v>Middle-Aged</v>
      </c>
    </row>
    <row r="248" spans="1:15" x14ac:dyDescent="0.3">
      <c r="A248" s="1">
        <v>1966</v>
      </c>
      <c r="B248" s="1" t="s">
        <v>9</v>
      </c>
      <c r="C248" s="2">
        <v>45433</v>
      </c>
      <c r="D248" s="2" t="str">
        <f t="shared" si="9"/>
        <v>May</v>
      </c>
      <c r="E248" s="2" t="str">
        <f t="shared" si="10"/>
        <v>2024</v>
      </c>
      <c r="F248" s="1">
        <v>157</v>
      </c>
      <c r="G248" s="1">
        <v>72</v>
      </c>
      <c r="H248" s="1">
        <v>21</v>
      </c>
      <c r="I248" s="1">
        <v>168</v>
      </c>
      <c r="J248" s="1">
        <v>25.6</v>
      </c>
      <c r="K248" s="1">
        <v>0.123</v>
      </c>
      <c r="L248" s="1">
        <v>24</v>
      </c>
      <c r="M248" s="1">
        <v>0</v>
      </c>
      <c r="N248" s="1" t="s">
        <v>46</v>
      </c>
      <c r="O248" s="1" t="str">
        <f t="shared" si="11"/>
        <v>Young</v>
      </c>
    </row>
    <row r="249" spans="1:15" x14ac:dyDescent="0.3">
      <c r="A249" s="1">
        <v>8283</v>
      </c>
      <c r="B249" s="1" t="s">
        <v>9</v>
      </c>
      <c r="C249" s="2">
        <v>44642</v>
      </c>
      <c r="D249" s="2" t="str">
        <f t="shared" si="9"/>
        <v>Mar</v>
      </c>
      <c r="E249" s="2" t="str">
        <f t="shared" si="10"/>
        <v>2022</v>
      </c>
      <c r="F249" s="1">
        <v>122</v>
      </c>
      <c r="G249" s="1">
        <v>64</v>
      </c>
      <c r="H249" s="1">
        <v>32</v>
      </c>
      <c r="I249" s="1">
        <v>156</v>
      </c>
      <c r="J249" s="1">
        <v>35.1</v>
      </c>
      <c r="K249" s="1">
        <v>0.69199999999999995</v>
      </c>
      <c r="L249" s="1">
        <v>30</v>
      </c>
      <c r="M249" s="1">
        <v>1</v>
      </c>
      <c r="N249" s="1" t="s">
        <v>45</v>
      </c>
      <c r="O249" s="1" t="str">
        <f t="shared" si="11"/>
        <v>Young</v>
      </c>
    </row>
    <row r="250" spans="1:15" x14ac:dyDescent="0.3">
      <c r="A250" s="1">
        <v>3020</v>
      </c>
      <c r="B250" s="1" t="s">
        <v>8</v>
      </c>
      <c r="C250" s="2">
        <v>44838</v>
      </c>
      <c r="D250" s="2" t="str">
        <f t="shared" si="9"/>
        <v>Oct</v>
      </c>
      <c r="E250" s="2" t="str">
        <f t="shared" si="10"/>
        <v>2022</v>
      </c>
      <c r="F250" s="1">
        <v>179</v>
      </c>
      <c r="G250" s="1">
        <v>70</v>
      </c>
      <c r="H250" s="1">
        <v>29</v>
      </c>
      <c r="I250" s="1">
        <v>37</v>
      </c>
      <c r="J250" s="1">
        <v>35.1</v>
      </c>
      <c r="K250" s="1">
        <v>0.2</v>
      </c>
      <c r="L250" s="1">
        <v>37</v>
      </c>
      <c r="M250" s="1">
        <v>0</v>
      </c>
      <c r="N250" s="1" t="s">
        <v>46</v>
      </c>
      <c r="O250" s="1" t="str">
        <f t="shared" si="11"/>
        <v>Middle-Aged</v>
      </c>
    </row>
    <row r="251" spans="1:15" x14ac:dyDescent="0.3">
      <c r="A251" s="1">
        <v>6632</v>
      </c>
      <c r="B251" s="1" t="s">
        <v>8</v>
      </c>
      <c r="C251" s="2">
        <v>44758</v>
      </c>
      <c r="D251" s="2" t="str">
        <f t="shared" si="9"/>
        <v>Jul</v>
      </c>
      <c r="E251" s="2" t="str">
        <f t="shared" si="10"/>
        <v>2022</v>
      </c>
      <c r="F251" s="1">
        <v>102</v>
      </c>
      <c r="G251" s="1">
        <v>86</v>
      </c>
      <c r="H251" s="1">
        <v>36</v>
      </c>
      <c r="I251" s="1">
        <v>120</v>
      </c>
      <c r="J251" s="1">
        <v>45.5</v>
      </c>
      <c r="K251" s="1">
        <v>0.127</v>
      </c>
      <c r="L251" s="1">
        <v>23</v>
      </c>
      <c r="M251" s="1">
        <v>1</v>
      </c>
      <c r="N251" s="1" t="s">
        <v>45</v>
      </c>
      <c r="O251" s="1" t="str">
        <f t="shared" si="11"/>
        <v>Young</v>
      </c>
    </row>
    <row r="252" spans="1:15" x14ac:dyDescent="0.3">
      <c r="A252" s="1">
        <v>4490</v>
      </c>
      <c r="B252" s="1" t="s">
        <v>8</v>
      </c>
      <c r="C252" s="2">
        <v>45194</v>
      </c>
      <c r="D252" s="2" t="str">
        <f t="shared" si="9"/>
        <v>Sep</v>
      </c>
      <c r="E252" s="2" t="str">
        <f t="shared" si="10"/>
        <v>2023</v>
      </c>
      <c r="F252" s="1">
        <v>105</v>
      </c>
      <c r="G252" s="1">
        <v>70</v>
      </c>
      <c r="H252" s="1">
        <v>32</v>
      </c>
      <c r="I252" s="1">
        <v>68</v>
      </c>
      <c r="J252" s="1">
        <v>30.8</v>
      </c>
      <c r="K252" s="1">
        <v>0.122</v>
      </c>
      <c r="L252" s="1">
        <v>37</v>
      </c>
      <c r="M252" s="1">
        <v>0</v>
      </c>
      <c r="N252" s="1" t="s">
        <v>46</v>
      </c>
      <c r="O252" s="1" t="str">
        <f t="shared" si="11"/>
        <v>Middle-Aged</v>
      </c>
    </row>
    <row r="253" spans="1:15" x14ac:dyDescent="0.3">
      <c r="A253" s="1">
        <v>7242</v>
      </c>
      <c r="B253" s="1" t="s">
        <v>8</v>
      </c>
      <c r="C253" s="2">
        <v>44696</v>
      </c>
      <c r="D253" s="2" t="str">
        <f t="shared" si="9"/>
        <v>May</v>
      </c>
      <c r="E253" s="2" t="str">
        <f t="shared" si="10"/>
        <v>2022</v>
      </c>
      <c r="F253" s="1">
        <v>87</v>
      </c>
      <c r="G253" s="1">
        <v>58</v>
      </c>
      <c r="H253" s="1">
        <v>16</v>
      </c>
      <c r="I253" s="1">
        <v>52</v>
      </c>
      <c r="J253" s="1">
        <v>32.700000000000003</v>
      </c>
      <c r="K253" s="1">
        <v>0.16600000000000001</v>
      </c>
      <c r="L253" s="1">
        <v>25</v>
      </c>
      <c r="M253" s="1">
        <v>0</v>
      </c>
      <c r="N253" s="1" t="s">
        <v>46</v>
      </c>
      <c r="O253" s="1" t="str">
        <f t="shared" si="11"/>
        <v>Young</v>
      </c>
    </row>
    <row r="254" spans="1:15" x14ac:dyDescent="0.3">
      <c r="A254" s="1">
        <v>2478</v>
      </c>
      <c r="B254" s="1" t="s">
        <v>8</v>
      </c>
      <c r="C254" s="2">
        <v>45283</v>
      </c>
      <c r="D254" s="2" t="str">
        <f t="shared" si="9"/>
        <v>Dec</v>
      </c>
      <c r="E254" s="2" t="str">
        <f t="shared" si="10"/>
        <v>2023</v>
      </c>
      <c r="F254" s="1">
        <v>106</v>
      </c>
      <c r="G254" s="1">
        <v>80</v>
      </c>
      <c r="H254" s="1">
        <v>29</v>
      </c>
      <c r="I254" s="1">
        <v>19</v>
      </c>
      <c r="J254" s="1">
        <v>23.6</v>
      </c>
      <c r="K254" s="1">
        <v>0.13700000000000001</v>
      </c>
      <c r="L254" s="1">
        <v>44</v>
      </c>
      <c r="M254" s="1">
        <v>0</v>
      </c>
      <c r="N254" s="1" t="s">
        <v>46</v>
      </c>
      <c r="O254" s="1" t="str">
        <f t="shared" si="11"/>
        <v>Middle-Aged</v>
      </c>
    </row>
    <row r="255" spans="1:15" x14ac:dyDescent="0.3">
      <c r="A255" s="1">
        <v>3449</v>
      </c>
      <c r="B255" s="1" t="s">
        <v>9</v>
      </c>
      <c r="C255" s="2">
        <v>45559</v>
      </c>
      <c r="D255" s="2" t="str">
        <f t="shared" si="9"/>
        <v>Sep</v>
      </c>
      <c r="E255" s="2" t="str">
        <f t="shared" si="10"/>
        <v>2024</v>
      </c>
      <c r="F255" s="1">
        <v>95</v>
      </c>
      <c r="G255" s="1">
        <v>60</v>
      </c>
      <c r="H255" s="1">
        <v>18</v>
      </c>
      <c r="I255" s="1">
        <v>58</v>
      </c>
      <c r="J255" s="1">
        <v>23.9</v>
      </c>
      <c r="K255" s="1">
        <v>0.26</v>
      </c>
      <c r="L255" s="1">
        <v>22</v>
      </c>
      <c r="M255" s="1">
        <v>0</v>
      </c>
      <c r="N255" s="1" t="s">
        <v>46</v>
      </c>
      <c r="O255" s="1" t="str">
        <f t="shared" si="11"/>
        <v>Young</v>
      </c>
    </row>
    <row r="256" spans="1:15" x14ac:dyDescent="0.3">
      <c r="A256" s="1">
        <v>3995</v>
      </c>
      <c r="B256" s="1" t="s">
        <v>8</v>
      </c>
      <c r="C256" s="2">
        <v>45293</v>
      </c>
      <c r="D256" s="2" t="str">
        <f t="shared" si="9"/>
        <v>Jan</v>
      </c>
      <c r="E256" s="2" t="str">
        <f t="shared" si="10"/>
        <v>2024</v>
      </c>
      <c r="F256" s="1">
        <v>165</v>
      </c>
      <c r="G256" s="1">
        <v>76</v>
      </c>
      <c r="H256" s="1">
        <v>43</v>
      </c>
      <c r="I256" s="1">
        <v>255</v>
      </c>
      <c r="J256" s="1">
        <v>47.9</v>
      </c>
      <c r="K256" s="1">
        <v>0.25900000000000001</v>
      </c>
      <c r="L256" s="1">
        <v>26</v>
      </c>
      <c r="M256" s="1">
        <v>0</v>
      </c>
      <c r="N256" s="1" t="s">
        <v>46</v>
      </c>
      <c r="O256" s="1" t="str">
        <f t="shared" si="11"/>
        <v>Young</v>
      </c>
    </row>
    <row r="257" spans="1:15" x14ac:dyDescent="0.3">
      <c r="A257" s="1">
        <v>3214</v>
      </c>
      <c r="B257" s="1" t="s">
        <v>9</v>
      </c>
      <c r="C257" s="2">
        <v>44877</v>
      </c>
      <c r="D257" s="2" t="str">
        <f t="shared" si="9"/>
        <v>Nov</v>
      </c>
      <c r="E257" s="2" t="str">
        <f t="shared" si="10"/>
        <v>2022</v>
      </c>
      <c r="F257" s="1">
        <v>115</v>
      </c>
      <c r="G257" s="1">
        <v>76</v>
      </c>
      <c r="H257" s="1">
        <v>29</v>
      </c>
      <c r="I257" s="1">
        <v>19</v>
      </c>
      <c r="J257" s="1">
        <v>31.2</v>
      </c>
      <c r="K257" s="1">
        <v>0.34300000000000003</v>
      </c>
      <c r="L257" s="1">
        <v>44</v>
      </c>
      <c r="M257" s="1">
        <v>1</v>
      </c>
      <c r="N257" s="1" t="s">
        <v>45</v>
      </c>
      <c r="O257" s="1" t="str">
        <f t="shared" si="11"/>
        <v>Middle-Aged</v>
      </c>
    </row>
    <row r="258" spans="1:15" x14ac:dyDescent="0.3">
      <c r="A258" s="1">
        <v>2502</v>
      </c>
      <c r="B258" s="1" t="s">
        <v>9</v>
      </c>
      <c r="C258" s="2">
        <v>45321</v>
      </c>
      <c r="D258" s="2" t="str">
        <f t="shared" si="9"/>
        <v>Jan</v>
      </c>
      <c r="E258" s="2" t="str">
        <f t="shared" si="10"/>
        <v>2024</v>
      </c>
      <c r="F258" s="1">
        <v>152</v>
      </c>
      <c r="G258" s="1">
        <v>78</v>
      </c>
      <c r="H258" s="1">
        <v>34</v>
      </c>
      <c r="I258" s="1">
        <v>171</v>
      </c>
      <c r="J258" s="1">
        <v>34.200000000000003</v>
      </c>
      <c r="K258" s="1">
        <v>0.89300000000000002</v>
      </c>
      <c r="L258" s="1">
        <v>33</v>
      </c>
      <c r="M258" s="1">
        <v>1</v>
      </c>
      <c r="N258" s="1" t="s">
        <v>45</v>
      </c>
      <c r="O258" s="1" t="str">
        <f t="shared" si="11"/>
        <v>Young</v>
      </c>
    </row>
    <row r="259" spans="1:15" x14ac:dyDescent="0.3">
      <c r="A259" s="1">
        <v>3283</v>
      </c>
      <c r="B259" s="1" t="s">
        <v>9</v>
      </c>
      <c r="C259" s="2">
        <v>45633</v>
      </c>
      <c r="D259" s="2" t="str">
        <f t="shared" ref="D259:D322" si="12">TEXT(C259,"MMM")</f>
        <v>Dec</v>
      </c>
      <c r="E259" s="2" t="str">
        <f t="shared" ref="E259:E322" si="13">TEXT(C259,"YYY")</f>
        <v>2024</v>
      </c>
      <c r="F259" s="1">
        <v>178</v>
      </c>
      <c r="G259" s="1">
        <v>84</v>
      </c>
      <c r="H259" s="1">
        <v>29</v>
      </c>
      <c r="I259" s="1">
        <v>19</v>
      </c>
      <c r="J259" s="1">
        <v>39.9</v>
      </c>
      <c r="K259" s="1">
        <v>0.33100000000000002</v>
      </c>
      <c r="L259" s="1">
        <v>41</v>
      </c>
      <c r="M259" s="1">
        <v>1</v>
      </c>
      <c r="N259" s="1" t="s">
        <v>45</v>
      </c>
      <c r="O259" s="1" t="str">
        <f t="shared" ref="O259:O322" si="14">IF(L259&lt;=35,"Young",IF(L259&lt;=50,"Middle-Aged",IF(L259&lt;=65,"Old","Very Old")))</f>
        <v>Middle-Aged</v>
      </c>
    </row>
    <row r="260" spans="1:15" x14ac:dyDescent="0.3">
      <c r="A260" s="1">
        <v>5911</v>
      </c>
      <c r="B260" s="1" t="s">
        <v>9</v>
      </c>
      <c r="C260" s="2">
        <v>45553</v>
      </c>
      <c r="D260" s="2" t="str">
        <f t="shared" si="12"/>
        <v>Sep</v>
      </c>
      <c r="E260" s="2" t="str">
        <f t="shared" si="13"/>
        <v>2024</v>
      </c>
      <c r="F260" s="1">
        <v>130</v>
      </c>
      <c r="G260" s="1">
        <v>70</v>
      </c>
      <c r="H260" s="1">
        <v>13</v>
      </c>
      <c r="I260" s="1">
        <v>105</v>
      </c>
      <c r="J260" s="1">
        <v>25.9</v>
      </c>
      <c r="K260" s="1">
        <v>0.47199999999999998</v>
      </c>
      <c r="L260" s="1">
        <v>22</v>
      </c>
      <c r="M260" s="1">
        <v>0</v>
      </c>
      <c r="N260" s="1" t="s">
        <v>46</v>
      </c>
      <c r="O260" s="1" t="str">
        <f t="shared" si="14"/>
        <v>Young</v>
      </c>
    </row>
    <row r="261" spans="1:15" x14ac:dyDescent="0.3">
      <c r="A261" s="1">
        <v>4683</v>
      </c>
      <c r="B261" s="1" t="s">
        <v>9</v>
      </c>
      <c r="C261" s="2">
        <v>45490</v>
      </c>
      <c r="D261" s="2" t="str">
        <f t="shared" si="12"/>
        <v>Jul</v>
      </c>
      <c r="E261" s="2" t="str">
        <f t="shared" si="13"/>
        <v>2024</v>
      </c>
      <c r="F261" s="1">
        <v>95</v>
      </c>
      <c r="G261" s="1">
        <v>74</v>
      </c>
      <c r="H261" s="1">
        <v>21</v>
      </c>
      <c r="I261" s="1">
        <v>73</v>
      </c>
      <c r="J261" s="1">
        <v>25.9</v>
      </c>
      <c r="K261" s="1">
        <v>0.67300000000000004</v>
      </c>
      <c r="L261" s="1">
        <v>36</v>
      </c>
      <c r="M261" s="1">
        <v>0</v>
      </c>
      <c r="N261" s="1" t="s">
        <v>46</v>
      </c>
      <c r="O261" s="1" t="str">
        <f t="shared" si="14"/>
        <v>Middle-Aged</v>
      </c>
    </row>
    <row r="262" spans="1:15" x14ac:dyDescent="0.3">
      <c r="A262" s="1">
        <v>4715</v>
      </c>
      <c r="B262" s="1" t="s">
        <v>9</v>
      </c>
      <c r="C262" s="2">
        <v>44725</v>
      </c>
      <c r="D262" s="2" t="str">
        <f t="shared" si="12"/>
        <v>Jun</v>
      </c>
      <c r="E262" s="2" t="str">
        <f t="shared" si="13"/>
        <v>2022</v>
      </c>
      <c r="F262" s="1">
        <v>122</v>
      </c>
      <c r="G262" s="1">
        <v>86</v>
      </c>
      <c r="H262" s="1">
        <v>29</v>
      </c>
      <c r="I262" s="1">
        <v>19</v>
      </c>
      <c r="J262" s="1">
        <v>34.700000000000003</v>
      </c>
      <c r="K262" s="1">
        <v>0.28999999999999998</v>
      </c>
      <c r="L262" s="1">
        <v>33</v>
      </c>
      <c r="M262" s="1">
        <v>0</v>
      </c>
      <c r="N262" s="1" t="s">
        <v>46</v>
      </c>
      <c r="O262" s="1" t="str">
        <f t="shared" si="14"/>
        <v>Young</v>
      </c>
    </row>
    <row r="263" spans="1:15" x14ac:dyDescent="0.3">
      <c r="A263" s="1">
        <v>5551</v>
      </c>
      <c r="B263" s="1" t="s">
        <v>8</v>
      </c>
      <c r="C263" s="2">
        <v>44603</v>
      </c>
      <c r="D263" s="2" t="str">
        <f t="shared" si="12"/>
        <v>Feb</v>
      </c>
      <c r="E263" s="2" t="str">
        <f t="shared" si="13"/>
        <v>2022</v>
      </c>
      <c r="F263" s="1">
        <v>95</v>
      </c>
      <c r="G263" s="1">
        <v>72</v>
      </c>
      <c r="H263" s="1">
        <v>29</v>
      </c>
      <c r="I263" s="1">
        <v>19</v>
      </c>
      <c r="J263" s="1">
        <v>36.799999999999997</v>
      </c>
      <c r="K263" s="1">
        <v>0.48499999999999999</v>
      </c>
      <c r="L263" s="1">
        <v>57</v>
      </c>
      <c r="M263" s="1">
        <v>0</v>
      </c>
      <c r="N263" s="1" t="s">
        <v>46</v>
      </c>
      <c r="O263" s="1" t="str">
        <f t="shared" si="14"/>
        <v>Old</v>
      </c>
    </row>
    <row r="264" spans="1:15" x14ac:dyDescent="0.3">
      <c r="A264" s="1">
        <v>7701</v>
      </c>
      <c r="B264" s="1" t="s">
        <v>8</v>
      </c>
      <c r="C264" s="2">
        <v>44933</v>
      </c>
      <c r="D264" s="2" t="str">
        <f t="shared" si="12"/>
        <v>Jan</v>
      </c>
      <c r="E264" s="2" t="str">
        <f t="shared" si="13"/>
        <v>2023</v>
      </c>
      <c r="F264" s="1">
        <v>126</v>
      </c>
      <c r="G264" s="1">
        <v>88</v>
      </c>
      <c r="H264" s="1">
        <v>36</v>
      </c>
      <c r="I264" s="1">
        <v>108</v>
      </c>
      <c r="J264" s="1">
        <v>38.5</v>
      </c>
      <c r="K264" s="1">
        <v>0.34899999999999998</v>
      </c>
      <c r="L264" s="1">
        <v>49</v>
      </c>
      <c r="M264" s="1">
        <v>0</v>
      </c>
      <c r="N264" s="1" t="s">
        <v>46</v>
      </c>
      <c r="O264" s="1" t="str">
        <f t="shared" si="14"/>
        <v>Middle-Aged</v>
      </c>
    </row>
    <row r="265" spans="1:15" x14ac:dyDescent="0.3">
      <c r="A265" s="1">
        <v>3561</v>
      </c>
      <c r="B265" s="1" t="s">
        <v>9</v>
      </c>
      <c r="C265" s="2">
        <v>45465</v>
      </c>
      <c r="D265" s="2" t="str">
        <f t="shared" si="12"/>
        <v>Jun</v>
      </c>
      <c r="E265" s="2" t="str">
        <f t="shared" si="13"/>
        <v>2024</v>
      </c>
      <c r="F265" s="1">
        <v>139</v>
      </c>
      <c r="G265" s="1">
        <v>46</v>
      </c>
      <c r="H265" s="1">
        <v>19</v>
      </c>
      <c r="I265" s="1">
        <v>83</v>
      </c>
      <c r="J265" s="1">
        <v>28.7</v>
      </c>
      <c r="K265" s="1">
        <v>0.65400000000000003</v>
      </c>
      <c r="L265" s="1">
        <v>22</v>
      </c>
      <c r="M265" s="1">
        <v>0</v>
      </c>
      <c r="N265" s="1" t="s">
        <v>46</v>
      </c>
      <c r="O265" s="1" t="str">
        <f t="shared" si="14"/>
        <v>Young</v>
      </c>
    </row>
    <row r="266" spans="1:15" x14ac:dyDescent="0.3">
      <c r="A266" s="1">
        <v>5319</v>
      </c>
      <c r="B266" s="1" t="s">
        <v>9</v>
      </c>
      <c r="C266" s="2">
        <v>44322</v>
      </c>
      <c r="D266" s="2" t="str">
        <f t="shared" si="12"/>
        <v>May</v>
      </c>
      <c r="E266" s="2" t="str">
        <f t="shared" si="13"/>
        <v>2021</v>
      </c>
      <c r="F266" s="1">
        <v>99</v>
      </c>
      <c r="G266" s="1">
        <v>62</v>
      </c>
      <c r="H266" s="1">
        <v>19</v>
      </c>
      <c r="I266" s="1">
        <v>74</v>
      </c>
      <c r="J266" s="1">
        <v>21.8</v>
      </c>
      <c r="K266" s="1">
        <v>0.27900000000000003</v>
      </c>
      <c r="L266" s="1">
        <v>26</v>
      </c>
      <c r="M266" s="1">
        <v>0</v>
      </c>
      <c r="N266" s="1" t="s">
        <v>46</v>
      </c>
      <c r="O266" s="1" t="str">
        <f t="shared" si="14"/>
        <v>Young</v>
      </c>
    </row>
    <row r="267" spans="1:15" x14ac:dyDescent="0.3">
      <c r="A267" s="1">
        <v>7985</v>
      </c>
      <c r="B267" s="1" t="s">
        <v>8</v>
      </c>
      <c r="C267" s="2">
        <v>44542</v>
      </c>
      <c r="D267" s="2" t="str">
        <f t="shared" si="12"/>
        <v>Dec</v>
      </c>
      <c r="E267" s="2" t="str">
        <f t="shared" si="13"/>
        <v>2021</v>
      </c>
      <c r="F267" s="1">
        <v>92</v>
      </c>
      <c r="G267" s="1">
        <v>80</v>
      </c>
      <c r="H267" s="1">
        <v>29</v>
      </c>
      <c r="I267" s="1">
        <v>19</v>
      </c>
      <c r="J267" s="1">
        <v>42.2</v>
      </c>
      <c r="K267" s="1">
        <v>0.23699999999999999</v>
      </c>
      <c r="L267" s="1">
        <v>29</v>
      </c>
      <c r="M267" s="1">
        <v>0</v>
      </c>
      <c r="N267" s="1" t="s">
        <v>46</v>
      </c>
      <c r="O267" s="1" t="str">
        <f t="shared" si="14"/>
        <v>Young</v>
      </c>
    </row>
    <row r="268" spans="1:15" x14ac:dyDescent="0.3">
      <c r="A268" s="1">
        <v>4960</v>
      </c>
      <c r="B268" s="1" t="s">
        <v>8</v>
      </c>
      <c r="C268" s="2">
        <v>44789</v>
      </c>
      <c r="D268" s="2" t="str">
        <f t="shared" si="12"/>
        <v>Aug</v>
      </c>
      <c r="E268" s="2" t="str">
        <f t="shared" si="13"/>
        <v>2022</v>
      </c>
      <c r="F268" s="1">
        <v>137</v>
      </c>
      <c r="G268" s="1">
        <v>84</v>
      </c>
      <c r="H268" s="1">
        <v>29</v>
      </c>
      <c r="I268" s="1">
        <v>19</v>
      </c>
      <c r="J268" s="1">
        <v>31.2</v>
      </c>
      <c r="K268" s="1">
        <v>0.252</v>
      </c>
      <c r="L268" s="1">
        <v>30</v>
      </c>
      <c r="M268" s="1">
        <v>0</v>
      </c>
      <c r="N268" s="1" t="s">
        <v>46</v>
      </c>
      <c r="O268" s="1" t="str">
        <f t="shared" si="14"/>
        <v>Young</v>
      </c>
    </row>
    <row r="269" spans="1:15" x14ac:dyDescent="0.3">
      <c r="A269" s="1">
        <v>9122</v>
      </c>
      <c r="B269" s="1" t="s">
        <v>9</v>
      </c>
      <c r="C269" s="2">
        <v>45481</v>
      </c>
      <c r="D269" s="2" t="str">
        <f t="shared" si="12"/>
        <v>Jul</v>
      </c>
      <c r="E269" s="2" t="str">
        <f t="shared" si="13"/>
        <v>2024</v>
      </c>
      <c r="F269" s="1">
        <v>90</v>
      </c>
      <c r="G269" s="1">
        <v>62</v>
      </c>
      <c r="H269" s="1">
        <v>12</v>
      </c>
      <c r="I269" s="1">
        <v>43</v>
      </c>
      <c r="J269" s="1">
        <v>27.2</v>
      </c>
      <c r="K269" s="1">
        <v>0.57999999999999996</v>
      </c>
      <c r="L269" s="1">
        <v>24</v>
      </c>
      <c r="M269" s="1">
        <v>0</v>
      </c>
      <c r="N269" s="1" t="s">
        <v>46</v>
      </c>
      <c r="O269" s="1" t="str">
        <f t="shared" si="14"/>
        <v>Young</v>
      </c>
    </row>
    <row r="270" spans="1:15" x14ac:dyDescent="0.3">
      <c r="A270" s="1">
        <v>5885</v>
      </c>
      <c r="B270" s="1" t="s">
        <v>9</v>
      </c>
      <c r="C270" s="2">
        <v>44629</v>
      </c>
      <c r="D270" s="2" t="str">
        <f t="shared" si="12"/>
        <v>Mar</v>
      </c>
      <c r="E270" s="2" t="str">
        <f t="shared" si="13"/>
        <v>2022</v>
      </c>
      <c r="F270" s="1">
        <v>90</v>
      </c>
      <c r="G270" s="1">
        <v>78</v>
      </c>
      <c r="H270" s="1">
        <v>29</v>
      </c>
      <c r="I270" s="1">
        <v>19</v>
      </c>
      <c r="J270" s="1">
        <v>42.7</v>
      </c>
      <c r="K270" s="1">
        <v>0.55900000000000005</v>
      </c>
      <c r="L270" s="1">
        <v>21</v>
      </c>
      <c r="M270" s="1">
        <v>0</v>
      </c>
      <c r="N270" s="1" t="s">
        <v>46</v>
      </c>
      <c r="O270" s="1" t="str">
        <f t="shared" si="14"/>
        <v>Young</v>
      </c>
    </row>
    <row r="271" spans="1:15" x14ac:dyDescent="0.3">
      <c r="A271" s="1">
        <v>1142</v>
      </c>
      <c r="B271" s="1" t="s">
        <v>9</v>
      </c>
      <c r="C271" s="2">
        <v>44977</v>
      </c>
      <c r="D271" s="2" t="str">
        <f t="shared" si="12"/>
        <v>Feb</v>
      </c>
      <c r="E271" s="2" t="str">
        <f t="shared" si="13"/>
        <v>2023</v>
      </c>
      <c r="F271" s="1">
        <v>165</v>
      </c>
      <c r="G271" s="1">
        <v>88</v>
      </c>
      <c r="H271" s="1">
        <v>29</v>
      </c>
      <c r="I271" s="1">
        <v>19</v>
      </c>
      <c r="J271" s="1">
        <v>30.4</v>
      </c>
      <c r="K271" s="1">
        <v>0.30199999999999999</v>
      </c>
      <c r="L271" s="1">
        <v>49</v>
      </c>
      <c r="M271" s="1">
        <v>1</v>
      </c>
      <c r="N271" s="1" t="s">
        <v>45</v>
      </c>
      <c r="O271" s="1" t="str">
        <f t="shared" si="14"/>
        <v>Middle-Aged</v>
      </c>
    </row>
    <row r="272" spans="1:15" x14ac:dyDescent="0.3">
      <c r="A272" s="1">
        <v>8004</v>
      </c>
      <c r="B272" s="1" t="s">
        <v>9</v>
      </c>
      <c r="C272" s="2">
        <v>44758</v>
      </c>
      <c r="D272" s="2" t="str">
        <f t="shared" si="12"/>
        <v>Jul</v>
      </c>
      <c r="E272" s="2" t="str">
        <f t="shared" si="13"/>
        <v>2022</v>
      </c>
      <c r="F272" s="1">
        <v>125</v>
      </c>
      <c r="G272" s="1">
        <v>50</v>
      </c>
      <c r="H272" s="1">
        <v>40</v>
      </c>
      <c r="I272" s="1">
        <v>167</v>
      </c>
      <c r="J272" s="1">
        <v>33.299999999999997</v>
      </c>
      <c r="K272" s="1">
        <v>0.96199999999999997</v>
      </c>
      <c r="L272" s="1">
        <v>28</v>
      </c>
      <c r="M272" s="1">
        <v>1</v>
      </c>
      <c r="N272" s="1" t="s">
        <v>45</v>
      </c>
      <c r="O272" s="1" t="str">
        <f t="shared" si="14"/>
        <v>Young</v>
      </c>
    </row>
    <row r="273" spans="1:15" x14ac:dyDescent="0.3">
      <c r="A273" s="1">
        <v>3467</v>
      </c>
      <c r="B273" s="1" t="s">
        <v>8</v>
      </c>
      <c r="C273" s="2">
        <v>45442</v>
      </c>
      <c r="D273" s="2" t="str">
        <f t="shared" si="12"/>
        <v>May</v>
      </c>
      <c r="E273" s="2" t="str">
        <f t="shared" si="13"/>
        <v>2024</v>
      </c>
      <c r="F273" s="1">
        <v>88</v>
      </c>
      <c r="G273" s="1">
        <v>74</v>
      </c>
      <c r="H273" s="1">
        <v>40</v>
      </c>
      <c r="I273" s="1">
        <v>54</v>
      </c>
      <c r="J273" s="1">
        <v>35.299999999999997</v>
      </c>
      <c r="K273" s="1">
        <v>0.378</v>
      </c>
      <c r="L273" s="1">
        <v>48</v>
      </c>
      <c r="M273" s="1">
        <v>0</v>
      </c>
      <c r="N273" s="1" t="s">
        <v>46</v>
      </c>
      <c r="O273" s="1" t="str">
        <f t="shared" si="14"/>
        <v>Middle-Aged</v>
      </c>
    </row>
    <row r="274" spans="1:15" x14ac:dyDescent="0.3">
      <c r="A274" s="1">
        <v>6647</v>
      </c>
      <c r="B274" s="1" t="s">
        <v>9</v>
      </c>
      <c r="C274" s="2">
        <v>44860</v>
      </c>
      <c r="D274" s="2" t="str">
        <f t="shared" si="12"/>
        <v>Oct</v>
      </c>
      <c r="E274" s="2" t="str">
        <f t="shared" si="13"/>
        <v>2022</v>
      </c>
      <c r="F274" s="1">
        <v>196</v>
      </c>
      <c r="G274" s="1">
        <v>76</v>
      </c>
      <c r="H274" s="1">
        <v>36</v>
      </c>
      <c r="I274" s="1">
        <v>249</v>
      </c>
      <c r="J274" s="1">
        <v>36.5</v>
      </c>
      <c r="K274" s="1">
        <v>0.875</v>
      </c>
      <c r="L274" s="1">
        <v>29</v>
      </c>
      <c r="M274" s="1">
        <v>1</v>
      </c>
      <c r="N274" s="1" t="s">
        <v>45</v>
      </c>
      <c r="O274" s="1" t="str">
        <f t="shared" si="14"/>
        <v>Young</v>
      </c>
    </row>
    <row r="275" spans="1:15" x14ac:dyDescent="0.3">
      <c r="A275" s="1">
        <v>9814</v>
      </c>
      <c r="B275" s="1" t="s">
        <v>9</v>
      </c>
      <c r="C275" s="2">
        <v>45488</v>
      </c>
      <c r="D275" s="2" t="str">
        <f t="shared" si="12"/>
        <v>Jul</v>
      </c>
      <c r="E275" s="2" t="str">
        <f t="shared" si="13"/>
        <v>2024</v>
      </c>
      <c r="F275" s="1">
        <v>189</v>
      </c>
      <c r="G275" s="1">
        <v>64</v>
      </c>
      <c r="H275" s="1">
        <v>33</v>
      </c>
      <c r="I275" s="1">
        <v>325</v>
      </c>
      <c r="J275" s="1">
        <v>31.2</v>
      </c>
      <c r="K275" s="1">
        <v>0.58299999999999996</v>
      </c>
      <c r="L275" s="1">
        <v>29</v>
      </c>
      <c r="M275" s="1">
        <v>1</v>
      </c>
      <c r="N275" s="1" t="s">
        <v>45</v>
      </c>
      <c r="O275" s="1" t="str">
        <f t="shared" si="14"/>
        <v>Young</v>
      </c>
    </row>
    <row r="276" spans="1:15" x14ac:dyDescent="0.3">
      <c r="A276" s="1">
        <v>2919</v>
      </c>
      <c r="B276" s="1" t="s">
        <v>9</v>
      </c>
      <c r="C276" s="2">
        <v>44538</v>
      </c>
      <c r="D276" s="2" t="str">
        <f t="shared" si="12"/>
        <v>Dec</v>
      </c>
      <c r="E276" s="2" t="str">
        <f t="shared" si="13"/>
        <v>2021</v>
      </c>
      <c r="F276" s="1">
        <v>158</v>
      </c>
      <c r="G276" s="1">
        <v>70</v>
      </c>
      <c r="H276" s="1">
        <v>29</v>
      </c>
      <c r="I276" s="1">
        <v>19</v>
      </c>
      <c r="J276" s="1">
        <v>29.8</v>
      </c>
      <c r="K276" s="1">
        <v>0.20699999999999999</v>
      </c>
      <c r="L276" s="1">
        <v>63</v>
      </c>
      <c r="M276" s="1">
        <v>0</v>
      </c>
      <c r="N276" s="1" t="s">
        <v>46</v>
      </c>
      <c r="O276" s="1" t="str">
        <f t="shared" si="14"/>
        <v>Old</v>
      </c>
    </row>
    <row r="277" spans="1:15" x14ac:dyDescent="0.3">
      <c r="A277" s="1">
        <v>7320</v>
      </c>
      <c r="B277" s="1" t="s">
        <v>8</v>
      </c>
      <c r="C277" s="2">
        <v>45060</v>
      </c>
      <c r="D277" s="2" t="str">
        <f t="shared" si="12"/>
        <v>May</v>
      </c>
      <c r="E277" s="2" t="str">
        <f t="shared" si="13"/>
        <v>2023</v>
      </c>
      <c r="F277" s="1">
        <v>146</v>
      </c>
      <c r="G277" s="1">
        <v>78</v>
      </c>
      <c r="H277" s="1">
        <v>7</v>
      </c>
      <c r="I277" s="1">
        <v>19</v>
      </c>
      <c r="J277" s="1">
        <v>38.5</v>
      </c>
      <c r="K277" s="1">
        <v>0.52</v>
      </c>
      <c r="L277" s="1">
        <v>67</v>
      </c>
      <c r="M277" s="1">
        <v>1</v>
      </c>
      <c r="N277" s="1" t="s">
        <v>45</v>
      </c>
      <c r="O277" s="1" t="str">
        <f t="shared" si="14"/>
        <v>Very Old</v>
      </c>
    </row>
    <row r="278" spans="1:15" x14ac:dyDescent="0.3">
      <c r="A278" s="1">
        <v>5433</v>
      </c>
      <c r="B278" s="1" t="s">
        <v>8</v>
      </c>
      <c r="C278" s="2">
        <v>44685</v>
      </c>
      <c r="D278" s="2" t="str">
        <f t="shared" si="12"/>
        <v>May</v>
      </c>
      <c r="E278" s="2" t="str">
        <f t="shared" si="13"/>
        <v>2022</v>
      </c>
      <c r="F278" s="1">
        <v>147</v>
      </c>
      <c r="G278" s="1">
        <v>74</v>
      </c>
      <c r="H278" s="1">
        <v>25</v>
      </c>
      <c r="I278" s="1">
        <v>293</v>
      </c>
      <c r="J278" s="1">
        <v>34.9</v>
      </c>
      <c r="K278" s="1">
        <v>0.38500000000000001</v>
      </c>
      <c r="L278" s="1">
        <v>30</v>
      </c>
      <c r="M278" s="1">
        <v>0</v>
      </c>
      <c r="N278" s="1" t="s">
        <v>46</v>
      </c>
      <c r="O278" s="1" t="str">
        <f t="shared" si="14"/>
        <v>Young</v>
      </c>
    </row>
    <row r="279" spans="1:15" x14ac:dyDescent="0.3">
      <c r="A279" s="1">
        <v>9602</v>
      </c>
      <c r="B279" s="1" t="s">
        <v>9</v>
      </c>
      <c r="C279" s="2">
        <v>45505</v>
      </c>
      <c r="D279" s="2" t="str">
        <f t="shared" si="12"/>
        <v>Aug</v>
      </c>
      <c r="E279" s="2" t="str">
        <f t="shared" si="13"/>
        <v>2024</v>
      </c>
      <c r="F279" s="1">
        <v>99</v>
      </c>
      <c r="G279" s="1">
        <v>54</v>
      </c>
      <c r="H279" s="1">
        <v>28</v>
      </c>
      <c r="I279" s="1">
        <v>83</v>
      </c>
      <c r="J279" s="1">
        <v>34</v>
      </c>
      <c r="K279" s="1">
        <v>0.499</v>
      </c>
      <c r="L279" s="1">
        <v>30</v>
      </c>
      <c r="M279" s="1">
        <v>0</v>
      </c>
      <c r="N279" s="1" t="s">
        <v>46</v>
      </c>
      <c r="O279" s="1" t="str">
        <f t="shared" si="14"/>
        <v>Young</v>
      </c>
    </row>
    <row r="280" spans="1:15" x14ac:dyDescent="0.3">
      <c r="A280" s="1">
        <v>4860</v>
      </c>
      <c r="B280" s="1" t="s">
        <v>8</v>
      </c>
      <c r="C280" s="2">
        <v>45110</v>
      </c>
      <c r="D280" s="2" t="str">
        <f t="shared" si="12"/>
        <v>Jul</v>
      </c>
      <c r="E280" s="2" t="str">
        <f t="shared" si="13"/>
        <v>2023</v>
      </c>
      <c r="F280" s="1">
        <v>124</v>
      </c>
      <c r="G280" s="1">
        <v>72</v>
      </c>
      <c r="H280" s="1">
        <v>7</v>
      </c>
      <c r="I280" s="1">
        <v>19</v>
      </c>
      <c r="J280" s="1">
        <v>27.6</v>
      </c>
      <c r="K280" s="1">
        <v>0.36799999999999999</v>
      </c>
      <c r="L280" s="1">
        <v>29</v>
      </c>
      <c r="M280" s="1">
        <v>1</v>
      </c>
      <c r="N280" s="1" t="s">
        <v>45</v>
      </c>
      <c r="O280" s="1" t="str">
        <f t="shared" si="14"/>
        <v>Young</v>
      </c>
    </row>
    <row r="281" spans="1:15" x14ac:dyDescent="0.3">
      <c r="A281" s="1">
        <v>8896</v>
      </c>
      <c r="B281" s="1" t="s">
        <v>9</v>
      </c>
      <c r="C281" s="2">
        <v>44395</v>
      </c>
      <c r="D281" s="2" t="str">
        <f t="shared" si="12"/>
        <v>Jul</v>
      </c>
      <c r="E281" s="2" t="str">
        <f t="shared" si="13"/>
        <v>2021</v>
      </c>
      <c r="F281" s="1">
        <v>81</v>
      </c>
      <c r="G281" s="1">
        <v>86</v>
      </c>
      <c r="H281" s="1">
        <v>16</v>
      </c>
      <c r="I281" s="1">
        <v>66</v>
      </c>
      <c r="J281" s="1">
        <v>27.5</v>
      </c>
      <c r="K281" s="1">
        <v>0.30599999999999999</v>
      </c>
      <c r="L281" s="1">
        <v>22</v>
      </c>
      <c r="M281" s="1">
        <v>0</v>
      </c>
      <c r="N281" s="1" t="s">
        <v>46</v>
      </c>
      <c r="O281" s="1" t="str">
        <f t="shared" si="14"/>
        <v>Young</v>
      </c>
    </row>
    <row r="282" spans="1:15" x14ac:dyDescent="0.3">
      <c r="A282" s="1">
        <v>9464</v>
      </c>
      <c r="B282" s="1" t="s">
        <v>9</v>
      </c>
      <c r="C282" s="2">
        <v>44487</v>
      </c>
      <c r="D282" s="2" t="str">
        <f t="shared" si="12"/>
        <v>Oct</v>
      </c>
      <c r="E282" s="2" t="str">
        <f t="shared" si="13"/>
        <v>2021</v>
      </c>
      <c r="F282" s="1">
        <v>133</v>
      </c>
      <c r="G282" s="1">
        <v>102</v>
      </c>
      <c r="H282" s="1">
        <v>28</v>
      </c>
      <c r="I282" s="1">
        <v>140</v>
      </c>
      <c r="J282" s="1">
        <v>32.799999999999997</v>
      </c>
      <c r="K282" s="1">
        <v>0.23400000000000001</v>
      </c>
      <c r="L282" s="1">
        <v>45</v>
      </c>
      <c r="M282" s="1">
        <v>1</v>
      </c>
      <c r="N282" s="1" t="s">
        <v>45</v>
      </c>
      <c r="O282" s="1" t="str">
        <f t="shared" si="14"/>
        <v>Middle-Aged</v>
      </c>
    </row>
    <row r="283" spans="1:15" x14ac:dyDescent="0.3">
      <c r="A283" s="1">
        <v>4280</v>
      </c>
      <c r="B283" s="1" t="s">
        <v>9</v>
      </c>
      <c r="C283" s="2">
        <v>44871</v>
      </c>
      <c r="D283" s="2" t="str">
        <f t="shared" si="12"/>
        <v>Nov</v>
      </c>
      <c r="E283" s="2" t="str">
        <f t="shared" si="13"/>
        <v>2022</v>
      </c>
      <c r="F283" s="1">
        <v>173</v>
      </c>
      <c r="G283" s="1">
        <v>82</v>
      </c>
      <c r="H283" s="1">
        <v>48</v>
      </c>
      <c r="I283" s="1">
        <v>465</v>
      </c>
      <c r="J283" s="1">
        <v>38.4</v>
      </c>
      <c r="K283" s="1">
        <v>2.137</v>
      </c>
      <c r="L283" s="1">
        <v>25</v>
      </c>
      <c r="M283" s="1">
        <v>1</v>
      </c>
      <c r="N283" s="1" t="s">
        <v>45</v>
      </c>
      <c r="O283" s="1" t="str">
        <f t="shared" si="14"/>
        <v>Young</v>
      </c>
    </row>
    <row r="284" spans="1:15" x14ac:dyDescent="0.3">
      <c r="A284" s="1">
        <v>7875</v>
      </c>
      <c r="B284" s="1" t="s">
        <v>8</v>
      </c>
      <c r="C284" s="2">
        <v>44904</v>
      </c>
      <c r="D284" s="2" t="str">
        <f t="shared" si="12"/>
        <v>Dec</v>
      </c>
      <c r="E284" s="2" t="str">
        <f t="shared" si="13"/>
        <v>2022</v>
      </c>
      <c r="F284" s="1">
        <v>84</v>
      </c>
      <c r="G284" s="1">
        <v>64</v>
      </c>
      <c r="H284" s="1">
        <v>22</v>
      </c>
      <c r="I284" s="1">
        <v>66</v>
      </c>
      <c r="J284" s="1">
        <v>35.799999999999997</v>
      </c>
      <c r="K284" s="1">
        <v>0.54500000000000004</v>
      </c>
      <c r="L284" s="1">
        <v>21</v>
      </c>
      <c r="M284" s="1">
        <v>0</v>
      </c>
      <c r="N284" s="1" t="s">
        <v>46</v>
      </c>
      <c r="O284" s="1" t="str">
        <f t="shared" si="14"/>
        <v>Young</v>
      </c>
    </row>
    <row r="285" spans="1:15" x14ac:dyDescent="0.3">
      <c r="A285" s="1">
        <v>7419</v>
      </c>
      <c r="B285" s="1" t="s">
        <v>8</v>
      </c>
      <c r="C285" s="2">
        <v>44958</v>
      </c>
      <c r="D285" s="2" t="str">
        <f t="shared" si="12"/>
        <v>Feb</v>
      </c>
      <c r="E285" s="2" t="str">
        <f t="shared" si="13"/>
        <v>2023</v>
      </c>
      <c r="F285" s="1">
        <v>105</v>
      </c>
      <c r="G285" s="1">
        <v>58</v>
      </c>
      <c r="H285" s="1">
        <v>40</v>
      </c>
      <c r="I285" s="1">
        <v>94</v>
      </c>
      <c r="J285" s="1">
        <v>34.9</v>
      </c>
      <c r="K285" s="1">
        <v>0.22500000000000001</v>
      </c>
      <c r="L285" s="1">
        <v>25</v>
      </c>
      <c r="M285" s="1">
        <v>0</v>
      </c>
      <c r="N285" s="1" t="s">
        <v>46</v>
      </c>
      <c r="O285" s="1" t="str">
        <f t="shared" si="14"/>
        <v>Young</v>
      </c>
    </row>
    <row r="286" spans="1:15" x14ac:dyDescent="0.3">
      <c r="A286" s="1">
        <v>8914</v>
      </c>
      <c r="B286" s="1" t="s">
        <v>8</v>
      </c>
      <c r="C286" s="2">
        <v>44248</v>
      </c>
      <c r="D286" s="2" t="str">
        <f t="shared" si="12"/>
        <v>Feb</v>
      </c>
      <c r="E286" s="2" t="str">
        <f t="shared" si="13"/>
        <v>2021</v>
      </c>
      <c r="F286" s="1">
        <v>122</v>
      </c>
      <c r="G286" s="1">
        <v>52</v>
      </c>
      <c r="H286" s="1">
        <v>43</v>
      </c>
      <c r="I286" s="1">
        <v>158</v>
      </c>
      <c r="J286" s="1">
        <v>36.200000000000003</v>
      </c>
      <c r="K286" s="1">
        <v>0.81599999999999995</v>
      </c>
      <c r="L286" s="1">
        <v>28</v>
      </c>
      <c r="M286" s="1">
        <v>0</v>
      </c>
      <c r="N286" s="1" t="s">
        <v>46</v>
      </c>
      <c r="O286" s="1" t="str">
        <f t="shared" si="14"/>
        <v>Young</v>
      </c>
    </row>
    <row r="287" spans="1:15" x14ac:dyDescent="0.3">
      <c r="A287" s="1">
        <v>5214</v>
      </c>
      <c r="B287" s="1" t="s">
        <v>8</v>
      </c>
      <c r="C287" s="2">
        <v>44943</v>
      </c>
      <c r="D287" s="2" t="str">
        <f t="shared" si="12"/>
        <v>Jan</v>
      </c>
      <c r="E287" s="2" t="str">
        <f t="shared" si="13"/>
        <v>2023</v>
      </c>
      <c r="F287" s="1">
        <v>140</v>
      </c>
      <c r="G287" s="1">
        <v>82</v>
      </c>
      <c r="H287" s="1">
        <v>43</v>
      </c>
      <c r="I287" s="1">
        <v>325</v>
      </c>
      <c r="J287" s="1">
        <v>39.200000000000003</v>
      </c>
      <c r="K287" s="1">
        <v>0.52800000000000002</v>
      </c>
      <c r="L287" s="1">
        <v>58</v>
      </c>
      <c r="M287" s="1">
        <v>1</v>
      </c>
      <c r="N287" s="1" t="s">
        <v>45</v>
      </c>
      <c r="O287" s="1" t="str">
        <f t="shared" si="14"/>
        <v>Old</v>
      </c>
    </row>
    <row r="288" spans="1:15" x14ac:dyDescent="0.3">
      <c r="A288" s="1">
        <v>1857</v>
      </c>
      <c r="B288" s="1" t="s">
        <v>8</v>
      </c>
      <c r="C288" s="2">
        <v>45635</v>
      </c>
      <c r="D288" s="2" t="str">
        <f t="shared" si="12"/>
        <v>Dec</v>
      </c>
      <c r="E288" s="2" t="str">
        <f t="shared" si="13"/>
        <v>2024</v>
      </c>
      <c r="F288" s="1">
        <v>98</v>
      </c>
      <c r="G288" s="1">
        <v>82</v>
      </c>
      <c r="H288" s="1">
        <v>15</v>
      </c>
      <c r="I288" s="1">
        <v>84</v>
      </c>
      <c r="J288" s="1">
        <v>25.2</v>
      </c>
      <c r="K288" s="1">
        <v>0.29899999999999999</v>
      </c>
      <c r="L288" s="1">
        <v>22</v>
      </c>
      <c r="M288" s="1">
        <v>0</v>
      </c>
      <c r="N288" s="1" t="s">
        <v>46</v>
      </c>
      <c r="O288" s="1" t="str">
        <f t="shared" si="14"/>
        <v>Young</v>
      </c>
    </row>
    <row r="289" spans="1:15" x14ac:dyDescent="0.3">
      <c r="A289" s="1">
        <v>8332</v>
      </c>
      <c r="B289" s="1" t="s">
        <v>9</v>
      </c>
      <c r="C289" s="2">
        <v>45475</v>
      </c>
      <c r="D289" s="2" t="str">
        <f t="shared" si="12"/>
        <v>Jul</v>
      </c>
      <c r="E289" s="2" t="str">
        <f t="shared" si="13"/>
        <v>2024</v>
      </c>
      <c r="F289" s="1">
        <v>87</v>
      </c>
      <c r="G289" s="1">
        <v>60</v>
      </c>
      <c r="H289" s="1">
        <v>37</v>
      </c>
      <c r="I289" s="1">
        <v>75</v>
      </c>
      <c r="J289" s="1">
        <v>37.200000000000003</v>
      </c>
      <c r="K289" s="1">
        <v>0.50900000000000001</v>
      </c>
      <c r="L289" s="1">
        <v>22</v>
      </c>
      <c r="M289" s="1">
        <v>0</v>
      </c>
      <c r="N289" s="1" t="s">
        <v>46</v>
      </c>
      <c r="O289" s="1" t="str">
        <f t="shared" si="14"/>
        <v>Young</v>
      </c>
    </row>
    <row r="290" spans="1:15" x14ac:dyDescent="0.3">
      <c r="A290" s="1">
        <v>7381</v>
      </c>
      <c r="B290" s="1" t="s">
        <v>8</v>
      </c>
      <c r="C290" s="2">
        <v>44533</v>
      </c>
      <c r="D290" s="2" t="str">
        <f t="shared" si="12"/>
        <v>Dec</v>
      </c>
      <c r="E290" s="2" t="str">
        <f t="shared" si="13"/>
        <v>2021</v>
      </c>
      <c r="F290" s="1">
        <v>156</v>
      </c>
      <c r="G290" s="1">
        <v>75</v>
      </c>
      <c r="H290" s="1">
        <v>7</v>
      </c>
      <c r="I290" s="1">
        <v>19</v>
      </c>
      <c r="J290" s="1">
        <v>48.3</v>
      </c>
      <c r="K290" s="1">
        <v>0.23799999999999999</v>
      </c>
      <c r="L290" s="1">
        <v>32</v>
      </c>
      <c r="M290" s="1">
        <v>1</v>
      </c>
      <c r="N290" s="1" t="s">
        <v>45</v>
      </c>
      <c r="O290" s="1" t="str">
        <f t="shared" si="14"/>
        <v>Young</v>
      </c>
    </row>
    <row r="291" spans="1:15" x14ac:dyDescent="0.3">
      <c r="A291" s="1">
        <v>3273</v>
      </c>
      <c r="B291" s="1" t="s">
        <v>8</v>
      </c>
      <c r="C291" s="2">
        <v>44875</v>
      </c>
      <c r="D291" s="2" t="str">
        <f t="shared" si="12"/>
        <v>Nov</v>
      </c>
      <c r="E291" s="2" t="str">
        <f t="shared" si="13"/>
        <v>2022</v>
      </c>
      <c r="F291" s="1">
        <v>93</v>
      </c>
      <c r="G291" s="1">
        <v>100</v>
      </c>
      <c r="H291" s="1">
        <v>39</v>
      </c>
      <c r="I291" s="1">
        <v>72</v>
      </c>
      <c r="J291" s="1">
        <v>43.4</v>
      </c>
      <c r="K291" s="1">
        <v>1.0209999999999999</v>
      </c>
      <c r="L291" s="1">
        <v>35</v>
      </c>
      <c r="M291" s="1">
        <v>0</v>
      </c>
      <c r="N291" s="1" t="s">
        <v>46</v>
      </c>
      <c r="O291" s="1" t="str">
        <f t="shared" si="14"/>
        <v>Young</v>
      </c>
    </row>
    <row r="292" spans="1:15" x14ac:dyDescent="0.3">
      <c r="A292" s="1">
        <v>4590</v>
      </c>
      <c r="B292" s="1" t="s">
        <v>9</v>
      </c>
      <c r="C292" s="2">
        <v>44742</v>
      </c>
      <c r="D292" s="2" t="str">
        <f t="shared" si="12"/>
        <v>Jun</v>
      </c>
      <c r="E292" s="2" t="str">
        <f t="shared" si="13"/>
        <v>2022</v>
      </c>
      <c r="F292" s="1">
        <v>107</v>
      </c>
      <c r="G292" s="1">
        <v>72</v>
      </c>
      <c r="H292" s="1">
        <v>30</v>
      </c>
      <c r="I292" s="1">
        <v>82</v>
      </c>
      <c r="J292" s="1">
        <v>30.8</v>
      </c>
      <c r="K292" s="1">
        <v>0.82099999999999995</v>
      </c>
      <c r="L292" s="1">
        <v>24</v>
      </c>
      <c r="M292" s="1">
        <v>0</v>
      </c>
      <c r="N292" s="1" t="s">
        <v>46</v>
      </c>
      <c r="O292" s="1" t="str">
        <f t="shared" si="14"/>
        <v>Young</v>
      </c>
    </row>
    <row r="293" spans="1:15" x14ac:dyDescent="0.3">
      <c r="A293" s="1">
        <v>2668</v>
      </c>
      <c r="B293" s="1" t="s">
        <v>9</v>
      </c>
      <c r="C293" s="2">
        <v>44208</v>
      </c>
      <c r="D293" s="2" t="str">
        <f t="shared" si="12"/>
        <v>Jan</v>
      </c>
      <c r="E293" s="2" t="str">
        <f t="shared" si="13"/>
        <v>2021</v>
      </c>
      <c r="F293" s="1">
        <v>109</v>
      </c>
      <c r="G293" s="1">
        <v>60</v>
      </c>
      <c r="H293" s="1">
        <v>8</v>
      </c>
      <c r="I293" s="1">
        <v>182</v>
      </c>
      <c r="J293" s="1">
        <v>25.4</v>
      </c>
      <c r="K293" s="1">
        <v>0.94699999999999995</v>
      </c>
      <c r="L293" s="1">
        <v>21</v>
      </c>
      <c r="M293" s="1">
        <v>0</v>
      </c>
      <c r="N293" s="1" t="s">
        <v>46</v>
      </c>
      <c r="O293" s="1" t="str">
        <f t="shared" si="14"/>
        <v>Young</v>
      </c>
    </row>
    <row r="294" spans="1:15" x14ac:dyDescent="0.3">
      <c r="A294" s="1">
        <v>7140</v>
      </c>
      <c r="B294" s="1" t="s">
        <v>9</v>
      </c>
      <c r="C294" s="2">
        <v>44278</v>
      </c>
      <c r="D294" s="2" t="str">
        <f t="shared" si="12"/>
        <v>Mar</v>
      </c>
      <c r="E294" s="2" t="str">
        <f t="shared" si="13"/>
        <v>2021</v>
      </c>
      <c r="F294" s="1">
        <v>90</v>
      </c>
      <c r="G294" s="1">
        <v>62</v>
      </c>
      <c r="H294" s="1">
        <v>18</v>
      </c>
      <c r="I294" s="1">
        <v>59</v>
      </c>
      <c r="J294" s="1">
        <v>25.1</v>
      </c>
      <c r="K294" s="1">
        <v>1.268</v>
      </c>
      <c r="L294" s="1">
        <v>25</v>
      </c>
      <c r="M294" s="1">
        <v>0</v>
      </c>
      <c r="N294" s="1" t="s">
        <v>46</v>
      </c>
      <c r="O294" s="1" t="str">
        <f t="shared" si="14"/>
        <v>Young</v>
      </c>
    </row>
    <row r="295" spans="1:15" x14ac:dyDescent="0.3">
      <c r="A295" s="1">
        <v>2599</v>
      </c>
      <c r="B295" s="1" t="s">
        <v>9</v>
      </c>
      <c r="C295" s="2">
        <v>44211</v>
      </c>
      <c r="D295" s="2" t="str">
        <f t="shared" si="12"/>
        <v>Jan</v>
      </c>
      <c r="E295" s="2" t="str">
        <f t="shared" si="13"/>
        <v>2021</v>
      </c>
      <c r="F295" s="1">
        <v>125</v>
      </c>
      <c r="G295" s="1">
        <v>70</v>
      </c>
      <c r="H295" s="1">
        <v>24</v>
      </c>
      <c r="I295" s="1">
        <v>110</v>
      </c>
      <c r="J295" s="1">
        <v>24.3</v>
      </c>
      <c r="K295" s="1">
        <v>0.221</v>
      </c>
      <c r="L295" s="1">
        <v>25</v>
      </c>
      <c r="M295" s="1">
        <v>0</v>
      </c>
      <c r="N295" s="1" t="s">
        <v>46</v>
      </c>
      <c r="O295" s="1" t="str">
        <f t="shared" si="14"/>
        <v>Young</v>
      </c>
    </row>
    <row r="296" spans="1:15" x14ac:dyDescent="0.3">
      <c r="A296" s="1">
        <v>3872</v>
      </c>
      <c r="B296" s="1" t="s">
        <v>9</v>
      </c>
      <c r="C296" s="2">
        <v>45380</v>
      </c>
      <c r="D296" s="2" t="str">
        <f t="shared" si="12"/>
        <v>Mar</v>
      </c>
      <c r="E296" s="2" t="str">
        <f t="shared" si="13"/>
        <v>2024</v>
      </c>
      <c r="F296" s="1">
        <v>119</v>
      </c>
      <c r="G296" s="1">
        <v>54</v>
      </c>
      <c r="H296" s="1">
        <v>13</v>
      </c>
      <c r="I296" s="1">
        <v>50</v>
      </c>
      <c r="J296" s="1">
        <v>22.3</v>
      </c>
      <c r="K296" s="1">
        <v>0.20499999999999999</v>
      </c>
      <c r="L296" s="1">
        <v>24</v>
      </c>
      <c r="M296" s="1">
        <v>0</v>
      </c>
      <c r="N296" s="1" t="s">
        <v>46</v>
      </c>
      <c r="O296" s="1" t="str">
        <f t="shared" si="14"/>
        <v>Young</v>
      </c>
    </row>
    <row r="297" spans="1:15" x14ac:dyDescent="0.3">
      <c r="A297" s="1">
        <v>2545</v>
      </c>
      <c r="B297" s="1" t="s">
        <v>9</v>
      </c>
      <c r="C297" s="2">
        <v>44812</v>
      </c>
      <c r="D297" s="2" t="str">
        <f t="shared" si="12"/>
        <v>Sep</v>
      </c>
      <c r="E297" s="2" t="str">
        <f t="shared" si="13"/>
        <v>2022</v>
      </c>
      <c r="F297" s="1">
        <v>144</v>
      </c>
      <c r="G297" s="1">
        <v>82</v>
      </c>
      <c r="H297" s="1">
        <v>26</v>
      </c>
      <c r="I297" s="1">
        <v>285</v>
      </c>
      <c r="J297" s="1">
        <v>32</v>
      </c>
      <c r="K297" s="1">
        <v>0.45200000000000001</v>
      </c>
      <c r="L297" s="1">
        <v>58</v>
      </c>
      <c r="M297" s="1">
        <v>1</v>
      </c>
      <c r="N297" s="1" t="s">
        <v>45</v>
      </c>
      <c r="O297" s="1" t="str">
        <f t="shared" si="14"/>
        <v>Old</v>
      </c>
    </row>
    <row r="298" spans="1:15" x14ac:dyDescent="0.3">
      <c r="A298" s="1">
        <v>7932</v>
      </c>
      <c r="B298" s="1" t="s">
        <v>9</v>
      </c>
      <c r="C298" s="2">
        <v>44471</v>
      </c>
      <c r="D298" s="2" t="str">
        <f t="shared" si="12"/>
        <v>Oct</v>
      </c>
      <c r="E298" s="2" t="str">
        <f t="shared" si="13"/>
        <v>2021</v>
      </c>
      <c r="F298" s="1">
        <v>100</v>
      </c>
      <c r="G298" s="1">
        <v>68</v>
      </c>
      <c r="H298" s="1">
        <v>23</v>
      </c>
      <c r="I298" s="1">
        <v>81</v>
      </c>
      <c r="J298" s="1">
        <v>31.6</v>
      </c>
      <c r="K298" s="1">
        <v>0.94899999999999995</v>
      </c>
      <c r="L298" s="1">
        <v>28</v>
      </c>
      <c r="M298" s="1">
        <v>0</v>
      </c>
      <c r="N298" s="1" t="s">
        <v>46</v>
      </c>
      <c r="O298" s="1" t="str">
        <f t="shared" si="14"/>
        <v>Young</v>
      </c>
    </row>
    <row r="299" spans="1:15" x14ac:dyDescent="0.3">
      <c r="A299" s="1">
        <v>1606</v>
      </c>
      <c r="B299" s="1" t="s">
        <v>9</v>
      </c>
      <c r="C299" s="2">
        <v>45364</v>
      </c>
      <c r="D299" s="2" t="str">
        <f t="shared" si="12"/>
        <v>Mar</v>
      </c>
      <c r="E299" s="2" t="str">
        <f t="shared" si="13"/>
        <v>2024</v>
      </c>
      <c r="F299" s="1">
        <v>100</v>
      </c>
      <c r="G299" s="1">
        <v>66</v>
      </c>
      <c r="H299" s="1">
        <v>29</v>
      </c>
      <c r="I299" s="1">
        <v>196</v>
      </c>
      <c r="J299" s="1">
        <v>32</v>
      </c>
      <c r="K299" s="1">
        <v>0.44400000000000001</v>
      </c>
      <c r="L299" s="1">
        <v>42</v>
      </c>
      <c r="M299" s="1">
        <v>0</v>
      </c>
      <c r="N299" s="1" t="s">
        <v>46</v>
      </c>
      <c r="O299" s="1" t="str">
        <f t="shared" si="14"/>
        <v>Middle-Aged</v>
      </c>
    </row>
    <row r="300" spans="1:15" x14ac:dyDescent="0.3">
      <c r="A300" s="1">
        <v>2163</v>
      </c>
      <c r="B300" s="1" t="s">
        <v>9</v>
      </c>
      <c r="C300" s="2">
        <v>45134</v>
      </c>
      <c r="D300" s="2" t="str">
        <f t="shared" si="12"/>
        <v>Jul</v>
      </c>
      <c r="E300" s="2" t="str">
        <f t="shared" si="13"/>
        <v>2023</v>
      </c>
      <c r="F300" s="1">
        <v>166</v>
      </c>
      <c r="G300" s="1">
        <v>76</v>
      </c>
      <c r="H300" s="1">
        <v>7</v>
      </c>
      <c r="I300" s="1">
        <v>19</v>
      </c>
      <c r="J300" s="1">
        <v>45.7</v>
      </c>
      <c r="K300" s="1">
        <v>0.34</v>
      </c>
      <c r="L300" s="1">
        <v>27</v>
      </c>
      <c r="M300" s="1">
        <v>1</v>
      </c>
      <c r="N300" s="1" t="s">
        <v>45</v>
      </c>
      <c r="O300" s="1" t="str">
        <f t="shared" si="14"/>
        <v>Young</v>
      </c>
    </row>
    <row r="301" spans="1:15" x14ac:dyDescent="0.3">
      <c r="A301" s="1">
        <v>5571</v>
      </c>
      <c r="B301" s="1" t="s">
        <v>9</v>
      </c>
      <c r="C301" s="2">
        <v>45585</v>
      </c>
      <c r="D301" s="2" t="str">
        <f t="shared" si="12"/>
        <v>Oct</v>
      </c>
      <c r="E301" s="2" t="str">
        <f t="shared" si="13"/>
        <v>2024</v>
      </c>
      <c r="F301" s="1">
        <v>131</v>
      </c>
      <c r="G301" s="1">
        <v>64</v>
      </c>
      <c r="H301" s="1">
        <v>14</v>
      </c>
      <c r="I301" s="1">
        <v>415</v>
      </c>
      <c r="J301" s="1">
        <v>23.7</v>
      </c>
      <c r="K301" s="1">
        <v>0.38900000000000001</v>
      </c>
      <c r="L301" s="1">
        <v>21</v>
      </c>
      <c r="M301" s="1">
        <v>0</v>
      </c>
      <c r="N301" s="1" t="s">
        <v>46</v>
      </c>
      <c r="O301" s="1" t="str">
        <f t="shared" si="14"/>
        <v>Young</v>
      </c>
    </row>
    <row r="302" spans="1:15" x14ac:dyDescent="0.3">
      <c r="A302" s="1">
        <v>3776</v>
      </c>
      <c r="B302" s="1" t="s">
        <v>8</v>
      </c>
      <c r="C302" s="2">
        <v>45196</v>
      </c>
      <c r="D302" s="2" t="str">
        <f t="shared" si="12"/>
        <v>Sep</v>
      </c>
      <c r="E302" s="2" t="str">
        <f t="shared" si="13"/>
        <v>2023</v>
      </c>
      <c r="F302" s="1">
        <v>116</v>
      </c>
      <c r="G302" s="1">
        <v>72</v>
      </c>
      <c r="H302" s="1">
        <v>12</v>
      </c>
      <c r="I302" s="1">
        <v>87</v>
      </c>
      <c r="J302" s="1">
        <v>22.1</v>
      </c>
      <c r="K302" s="1">
        <v>0.46300000000000002</v>
      </c>
      <c r="L302" s="1">
        <v>37</v>
      </c>
      <c r="M302" s="1">
        <v>0</v>
      </c>
      <c r="N302" s="1" t="s">
        <v>46</v>
      </c>
      <c r="O302" s="1" t="str">
        <f t="shared" si="14"/>
        <v>Middle-Aged</v>
      </c>
    </row>
    <row r="303" spans="1:15" x14ac:dyDescent="0.3">
      <c r="A303" s="1">
        <v>4946</v>
      </c>
      <c r="B303" s="1" t="s">
        <v>8</v>
      </c>
      <c r="C303" s="2">
        <v>44613</v>
      </c>
      <c r="D303" s="2" t="str">
        <f t="shared" si="12"/>
        <v>Feb</v>
      </c>
      <c r="E303" s="2" t="str">
        <f t="shared" si="13"/>
        <v>2022</v>
      </c>
      <c r="F303" s="1">
        <v>158</v>
      </c>
      <c r="G303" s="1">
        <v>78</v>
      </c>
      <c r="H303" s="1">
        <v>7</v>
      </c>
      <c r="I303" s="1">
        <v>19</v>
      </c>
      <c r="J303" s="1">
        <v>32.9</v>
      </c>
      <c r="K303" s="1">
        <v>0.80300000000000005</v>
      </c>
      <c r="L303" s="1">
        <v>31</v>
      </c>
      <c r="M303" s="1">
        <v>1</v>
      </c>
      <c r="N303" s="1" t="s">
        <v>45</v>
      </c>
      <c r="O303" s="1" t="str">
        <f t="shared" si="14"/>
        <v>Young</v>
      </c>
    </row>
    <row r="304" spans="1:15" x14ac:dyDescent="0.3">
      <c r="A304" s="1">
        <v>7742</v>
      </c>
      <c r="B304" s="1" t="s">
        <v>8</v>
      </c>
      <c r="C304" s="2">
        <v>45107</v>
      </c>
      <c r="D304" s="2" t="str">
        <f t="shared" si="12"/>
        <v>Jun</v>
      </c>
      <c r="E304" s="2" t="str">
        <f t="shared" si="13"/>
        <v>2023</v>
      </c>
      <c r="F304" s="1">
        <v>127</v>
      </c>
      <c r="G304" s="1">
        <v>58</v>
      </c>
      <c r="H304" s="1">
        <v>24</v>
      </c>
      <c r="I304" s="1">
        <v>275</v>
      </c>
      <c r="J304" s="1">
        <v>27.7</v>
      </c>
      <c r="K304" s="1">
        <v>1.6</v>
      </c>
      <c r="L304" s="1">
        <v>25</v>
      </c>
      <c r="M304" s="1">
        <v>0</v>
      </c>
      <c r="N304" s="1" t="s">
        <v>46</v>
      </c>
      <c r="O304" s="1" t="str">
        <f t="shared" si="14"/>
        <v>Young</v>
      </c>
    </row>
    <row r="305" spans="1:15" x14ac:dyDescent="0.3">
      <c r="A305" s="1">
        <v>8499</v>
      </c>
      <c r="B305" s="1" t="s">
        <v>9</v>
      </c>
      <c r="C305" s="2">
        <v>45104</v>
      </c>
      <c r="D305" s="2" t="str">
        <f t="shared" si="12"/>
        <v>Jun</v>
      </c>
      <c r="E305" s="2" t="str">
        <f t="shared" si="13"/>
        <v>2023</v>
      </c>
      <c r="F305" s="1">
        <v>96</v>
      </c>
      <c r="G305" s="1">
        <v>56</v>
      </c>
      <c r="H305" s="1">
        <v>34</v>
      </c>
      <c r="I305" s="1">
        <v>115</v>
      </c>
      <c r="J305" s="1">
        <v>24.7</v>
      </c>
      <c r="K305" s="1">
        <v>0.94399999999999995</v>
      </c>
      <c r="L305" s="1">
        <v>39</v>
      </c>
      <c r="M305" s="1">
        <v>0</v>
      </c>
      <c r="N305" s="1" t="s">
        <v>46</v>
      </c>
      <c r="O305" s="1" t="str">
        <f t="shared" si="14"/>
        <v>Middle-Aged</v>
      </c>
    </row>
    <row r="306" spans="1:15" x14ac:dyDescent="0.3">
      <c r="A306" s="1">
        <v>1265</v>
      </c>
      <c r="B306" s="1" t="s">
        <v>9</v>
      </c>
      <c r="C306" s="2">
        <v>45297</v>
      </c>
      <c r="D306" s="2" t="str">
        <f t="shared" si="12"/>
        <v>Jan</v>
      </c>
      <c r="E306" s="2" t="str">
        <f t="shared" si="13"/>
        <v>2024</v>
      </c>
      <c r="F306" s="1">
        <v>82</v>
      </c>
      <c r="G306" s="1">
        <v>70</v>
      </c>
      <c r="H306" s="1">
        <v>7</v>
      </c>
      <c r="I306" s="1">
        <v>19</v>
      </c>
      <c r="J306" s="1">
        <v>21.1</v>
      </c>
      <c r="K306" s="1">
        <v>0.38900000000000001</v>
      </c>
      <c r="L306" s="1">
        <v>25</v>
      </c>
      <c r="M306" s="1">
        <v>0</v>
      </c>
      <c r="N306" s="1" t="s">
        <v>46</v>
      </c>
      <c r="O306" s="1" t="str">
        <f t="shared" si="14"/>
        <v>Young</v>
      </c>
    </row>
    <row r="307" spans="1:15" x14ac:dyDescent="0.3">
      <c r="A307" s="1">
        <v>5755</v>
      </c>
      <c r="B307" s="1" t="s">
        <v>8</v>
      </c>
      <c r="C307" s="2">
        <v>45329</v>
      </c>
      <c r="D307" s="2" t="str">
        <f t="shared" si="12"/>
        <v>Feb</v>
      </c>
      <c r="E307" s="2" t="str">
        <f t="shared" si="13"/>
        <v>2024</v>
      </c>
      <c r="F307" s="1">
        <v>95</v>
      </c>
      <c r="G307" s="1">
        <v>64</v>
      </c>
      <c r="H307" s="1">
        <v>7</v>
      </c>
      <c r="I307" s="1">
        <v>9</v>
      </c>
      <c r="J307" s="1">
        <v>32</v>
      </c>
      <c r="K307" s="1">
        <v>0.161</v>
      </c>
      <c r="L307" s="1">
        <v>31</v>
      </c>
      <c r="M307" s="1">
        <v>1</v>
      </c>
      <c r="N307" s="1" t="s">
        <v>45</v>
      </c>
      <c r="O307" s="1" t="str">
        <f t="shared" si="14"/>
        <v>Young</v>
      </c>
    </row>
    <row r="308" spans="1:15" x14ac:dyDescent="0.3">
      <c r="A308" s="1">
        <v>3606</v>
      </c>
      <c r="B308" s="1" t="s">
        <v>8</v>
      </c>
      <c r="C308" s="2">
        <v>45360</v>
      </c>
      <c r="D308" s="2" t="str">
        <f t="shared" si="12"/>
        <v>Mar</v>
      </c>
      <c r="E308" s="2" t="str">
        <f t="shared" si="13"/>
        <v>2024</v>
      </c>
      <c r="F308" s="1">
        <v>137</v>
      </c>
      <c r="G308" s="1">
        <v>61</v>
      </c>
      <c r="H308" s="1">
        <v>7</v>
      </c>
      <c r="I308" s="1">
        <v>9</v>
      </c>
      <c r="J308" s="1">
        <v>24.2</v>
      </c>
      <c r="K308" s="1">
        <v>0.151</v>
      </c>
      <c r="L308" s="1">
        <v>55</v>
      </c>
      <c r="M308" s="1">
        <v>0</v>
      </c>
      <c r="N308" s="1" t="s">
        <v>46</v>
      </c>
      <c r="O308" s="1" t="str">
        <f t="shared" si="14"/>
        <v>Old</v>
      </c>
    </row>
    <row r="309" spans="1:15" x14ac:dyDescent="0.3">
      <c r="A309" s="1">
        <v>8086</v>
      </c>
      <c r="B309" s="1" t="s">
        <v>9</v>
      </c>
      <c r="C309" s="2">
        <v>44334</v>
      </c>
      <c r="D309" s="2" t="str">
        <f t="shared" si="12"/>
        <v>May</v>
      </c>
      <c r="E309" s="2" t="str">
        <f t="shared" si="13"/>
        <v>2021</v>
      </c>
      <c r="F309" s="1">
        <v>136</v>
      </c>
      <c r="G309" s="1">
        <v>84</v>
      </c>
      <c r="H309" s="1">
        <v>41</v>
      </c>
      <c r="I309" s="1">
        <v>88</v>
      </c>
      <c r="J309" s="1">
        <v>35</v>
      </c>
      <c r="K309" s="1">
        <v>0.28599999999999998</v>
      </c>
      <c r="L309" s="1">
        <v>35</v>
      </c>
      <c r="M309" s="1">
        <v>1</v>
      </c>
      <c r="N309" s="1" t="s">
        <v>45</v>
      </c>
      <c r="O309" s="1" t="str">
        <f t="shared" si="14"/>
        <v>Young</v>
      </c>
    </row>
    <row r="310" spans="1:15" x14ac:dyDescent="0.3">
      <c r="A310" s="1">
        <v>7184</v>
      </c>
      <c r="B310" s="1" t="s">
        <v>9</v>
      </c>
      <c r="C310" s="2">
        <v>44705</v>
      </c>
      <c r="D310" s="2" t="str">
        <f t="shared" si="12"/>
        <v>May</v>
      </c>
      <c r="E310" s="2" t="str">
        <f t="shared" si="13"/>
        <v>2022</v>
      </c>
      <c r="F310" s="1">
        <v>168</v>
      </c>
      <c r="G310" s="1">
        <v>64</v>
      </c>
      <c r="H310" s="1">
        <v>7</v>
      </c>
      <c r="I310" s="1">
        <v>9</v>
      </c>
      <c r="J310" s="1">
        <v>32.9</v>
      </c>
      <c r="K310" s="1">
        <v>0.13500000000000001</v>
      </c>
      <c r="L310" s="1">
        <v>41</v>
      </c>
      <c r="M310" s="1">
        <v>1</v>
      </c>
      <c r="N310" s="1" t="s">
        <v>45</v>
      </c>
      <c r="O310" s="1" t="str">
        <f t="shared" si="14"/>
        <v>Middle-Aged</v>
      </c>
    </row>
    <row r="311" spans="1:15" x14ac:dyDescent="0.3">
      <c r="A311" s="1">
        <v>8194</v>
      </c>
      <c r="B311" s="1" t="s">
        <v>8</v>
      </c>
      <c r="C311" s="2">
        <v>44571</v>
      </c>
      <c r="D311" s="2" t="str">
        <f t="shared" si="12"/>
        <v>Jan</v>
      </c>
      <c r="E311" s="2" t="str">
        <f t="shared" si="13"/>
        <v>2022</v>
      </c>
      <c r="F311" s="1">
        <v>123</v>
      </c>
      <c r="G311" s="1">
        <v>48</v>
      </c>
      <c r="H311" s="1">
        <v>32</v>
      </c>
      <c r="I311" s="1">
        <v>165</v>
      </c>
      <c r="J311" s="1">
        <v>42.1</v>
      </c>
      <c r="K311" s="1">
        <v>0.52</v>
      </c>
      <c r="L311" s="1">
        <v>26</v>
      </c>
      <c r="M311" s="1">
        <v>0</v>
      </c>
      <c r="N311" s="1" t="s">
        <v>46</v>
      </c>
      <c r="O311" s="1" t="str">
        <f t="shared" si="14"/>
        <v>Young</v>
      </c>
    </row>
    <row r="312" spans="1:15" x14ac:dyDescent="0.3">
      <c r="A312" s="1">
        <v>1427</v>
      </c>
      <c r="B312" s="1" t="s">
        <v>8</v>
      </c>
      <c r="C312" s="2">
        <v>45245</v>
      </c>
      <c r="D312" s="2" t="str">
        <f t="shared" si="12"/>
        <v>Nov</v>
      </c>
      <c r="E312" s="2" t="str">
        <f t="shared" si="13"/>
        <v>2023</v>
      </c>
      <c r="F312" s="1">
        <v>115</v>
      </c>
      <c r="G312" s="1">
        <v>72</v>
      </c>
      <c r="H312" s="1">
        <v>7</v>
      </c>
      <c r="I312" s="1">
        <v>9</v>
      </c>
      <c r="J312" s="1">
        <v>28.9</v>
      </c>
      <c r="K312" s="1">
        <v>0.376</v>
      </c>
      <c r="L312" s="1">
        <v>46</v>
      </c>
      <c r="M312" s="1">
        <v>1</v>
      </c>
      <c r="N312" s="1" t="s">
        <v>45</v>
      </c>
      <c r="O312" s="1" t="str">
        <f t="shared" si="14"/>
        <v>Middle-Aged</v>
      </c>
    </row>
    <row r="313" spans="1:15" x14ac:dyDescent="0.3">
      <c r="A313" s="1">
        <v>2022</v>
      </c>
      <c r="B313" s="1" t="s">
        <v>8</v>
      </c>
      <c r="C313" s="2">
        <v>45457</v>
      </c>
      <c r="D313" s="2" t="str">
        <f t="shared" si="12"/>
        <v>Jun</v>
      </c>
      <c r="E313" s="2" t="str">
        <f t="shared" si="13"/>
        <v>2024</v>
      </c>
      <c r="F313" s="1">
        <v>101</v>
      </c>
      <c r="G313" s="1">
        <v>62</v>
      </c>
      <c r="H313" s="1">
        <v>7</v>
      </c>
      <c r="I313" s="1">
        <v>9</v>
      </c>
      <c r="J313" s="1">
        <v>21.9</v>
      </c>
      <c r="K313" s="1">
        <v>0.33600000000000002</v>
      </c>
      <c r="L313" s="1">
        <v>25</v>
      </c>
      <c r="M313" s="1">
        <v>0</v>
      </c>
      <c r="N313" s="1" t="s">
        <v>46</v>
      </c>
      <c r="O313" s="1" t="str">
        <f t="shared" si="14"/>
        <v>Young</v>
      </c>
    </row>
    <row r="314" spans="1:15" x14ac:dyDescent="0.3">
      <c r="A314" s="1">
        <v>1222</v>
      </c>
      <c r="B314" s="1" t="s">
        <v>8</v>
      </c>
      <c r="C314" s="2">
        <v>45167</v>
      </c>
      <c r="D314" s="2" t="str">
        <f t="shared" si="12"/>
        <v>Aug</v>
      </c>
      <c r="E314" s="2" t="str">
        <f t="shared" si="13"/>
        <v>2023</v>
      </c>
      <c r="F314" s="1">
        <v>197</v>
      </c>
      <c r="G314" s="1">
        <v>74</v>
      </c>
      <c r="H314" s="1">
        <v>7</v>
      </c>
      <c r="I314" s="1">
        <v>9</v>
      </c>
      <c r="J314" s="1">
        <v>25.9</v>
      </c>
      <c r="K314" s="1">
        <v>1.1910000000000001</v>
      </c>
      <c r="L314" s="1">
        <v>39</v>
      </c>
      <c r="M314" s="1">
        <v>1</v>
      </c>
      <c r="N314" s="1" t="s">
        <v>45</v>
      </c>
      <c r="O314" s="1" t="str">
        <f t="shared" si="14"/>
        <v>Middle-Aged</v>
      </c>
    </row>
    <row r="315" spans="1:15" x14ac:dyDescent="0.3">
      <c r="A315" s="1">
        <v>4772</v>
      </c>
      <c r="B315" s="1" t="s">
        <v>9</v>
      </c>
      <c r="C315" s="2">
        <v>44754</v>
      </c>
      <c r="D315" s="2" t="str">
        <f t="shared" si="12"/>
        <v>Jul</v>
      </c>
      <c r="E315" s="2" t="str">
        <f t="shared" si="13"/>
        <v>2022</v>
      </c>
      <c r="F315" s="1">
        <v>172</v>
      </c>
      <c r="G315" s="1">
        <v>68</v>
      </c>
      <c r="H315" s="1">
        <v>49</v>
      </c>
      <c r="I315" s="1">
        <v>579</v>
      </c>
      <c r="J315" s="1">
        <v>42.4</v>
      </c>
      <c r="K315" s="1">
        <v>0.70199999999999996</v>
      </c>
      <c r="L315" s="1">
        <v>28</v>
      </c>
      <c r="M315" s="1">
        <v>1</v>
      </c>
      <c r="N315" s="1" t="s">
        <v>45</v>
      </c>
      <c r="O315" s="1" t="str">
        <f t="shared" si="14"/>
        <v>Young</v>
      </c>
    </row>
    <row r="316" spans="1:15" x14ac:dyDescent="0.3">
      <c r="A316" s="1">
        <v>1355</v>
      </c>
      <c r="B316" s="1" t="s">
        <v>9</v>
      </c>
      <c r="C316" s="2">
        <v>45571</v>
      </c>
      <c r="D316" s="2" t="str">
        <f t="shared" si="12"/>
        <v>Oct</v>
      </c>
      <c r="E316" s="2" t="str">
        <f t="shared" si="13"/>
        <v>2024</v>
      </c>
      <c r="F316" s="1">
        <v>112</v>
      </c>
      <c r="G316" s="1">
        <v>72</v>
      </c>
      <c r="H316" s="1">
        <v>30</v>
      </c>
      <c r="I316" s="1">
        <v>176</v>
      </c>
      <c r="J316" s="1">
        <v>34.4</v>
      </c>
      <c r="K316" s="1">
        <v>0.52800000000000002</v>
      </c>
      <c r="L316" s="1">
        <v>25</v>
      </c>
      <c r="M316" s="1">
        <v>0</v>
      </c>
      <c r="N316" s="1" t="s">
        <v>46</v>
      </c>
      <c r="O316" s="1" t="str">
        <f t="shared" si="14"/>
        <v>Young</v>
      </c>
    </row>
    <row r="317" spans="1:15" x14ac:dyDescent="0.3">
      <c r="A317" s="1">
        <v>7492</v>
      </c>
      <c r="B317" s="1" t="s">
        <v>9</v>
      </c>
      <c r="C317" s="2">
        <v>45291</v>
      </c>
      <c r="D317" s="2" t="str">
        <f t="shared" si="12"/>
        <v>Dec</v>
      </c>
      <c r="E317" s="2" t="str">
        <f t="shared" si="13"/>
        <v>2023</v>
      </c>
      <c r="F317" s="1">
        <v>143</v>
      </c>
      <c r="G317" s="1">
        <v>84</v>
      </c>
      <c r="H317" s="1">
        <v>23</v>
      </c>
      <c r="I317" s="1">
        <v>310</v>
      </c>
      <c r="J317" s="1">
        <v>42.4</v>
      </c>
      <c r="K317" s="1">
        <v>1.0760000000000001</v>
      </c>
      <c r="L317" s="1">
        <v>22</v>
      </c>
      <c r="M317" s="1">
        <v>0</v>
      </c>
      <c r="N317" s="1" t="s">
        <v>46</v>
      </c>
      <c r="O317" s="1" t="str">
        <f t="shared" si="14"/>
        <v>Young</v>
      </c>
    </row>
    <row r="318" spans="1:15" x14ac:dyDescent="0.3">
      <c r="A318" s="1">
        <v>5607</v>
      </c>
      <c r="B318" s="1" t="s">
        <v>9</v>
      </c>
      <c r="C318" s="2">
        <v>45488</v>
      </c>
      <c r="D318" s="2" t="str">
        <f t="shared" si="12"/>
        <v>Jul</v>
      </c>
      <c r="E318" s="2" t="str">
        <f t="shared" si="13"/>
        <v>2024</v>
      </c>
      <c r="F318" s="1">
        <v>143</v>
      </c>
      <c r="G318" s="1">
        <v>74</v>
      </c>
      <c r="H318" s="1">
        <v>22</v>
      </c>
      <c r="I318" s="1">
        <v>61</v>
      </c>
      <c r="J318" s="1">
        <v>26.2</v>
      </c>
      <c r="K318" s="1">
        <v>0.25600000000000001</v>
      </c>
      <c r="L318" s="1">
        <v>21</v>
      </c>
      <c r="M318" s="1">
        <v>0</v>
      </c>
      <c r="N318" s="1" t="s">
        <v>46</v>
      </c>
      <c r="O318" s="1" t="str">
        <f t="shared" si="14"/>
        <v>Young</v>
      </c>
    </row>
    <row r="319" spans="1:15" x14ac:dyDescent="0.3">
      <c r="A319" s="1">
        <v>3849</v>
      </c>
      <c r="B319" s="1" t="s">
        <v>8</v>
      </c>
      <c r="C319" s="2">
        <v>45632</v>
      </c>
      <c r="D319" s="2" t="str">
        <f t="shared" si="12"/>
        <v>Dec</v>
      </c>
      <c r="E319" s="2" t="str">
        <f t="shared" si="13"/>
        <v>2024</v>
      </c>
      <c r="F319" s="1">
        <v>138</v>
      </c>
      <c r="G319" s="1">
        <v>60</v>
      </c>
      <c r="H319" s="1">
        <v>35</v>
      </c>
      <c r="I319" s="1">
        <v>167</v>
      </c>
      <c r="J319" s="1">
        <v>34.6</v>
      </c>
      <c r="K319" s="1">
        <v>0.53400000000000003</v>
      </c>
      <c r="L319" s="1">
        <v>21</v>
      </c>
      <c r="M319" s="1">
        <v>1</v>
      </c>
      <c r="N319" s="1" t="s">
        <v>45</v>
      </c>
      <c r="O319" s="1" t="str">
        <f t="shared" si="14"/>
        <v>Young</v>
      </c>
    </row>
    <row r="320" spans="1:15" x14ac:dyDescent="0.3">
      <c r="A320" s="1">
        <v>8437</v>
      </c>
      <c r="B320" s="1" t="s">
        <v>9</v>
      </c>
      <c r="C320" s="2">
        <v>44327</v>
      </c>
      <c r="D320" s="2" t="str">
        <f t="shared" si="12"/>
        <v>May</v>
      </c>
      <c r="E320" s="2" t="str">
        <f t="shared" si="13"/>
        <v>2021</v>
      </c>
      <c r="F320" s="1">
        <v>173</v>
      </c>
      <c r="G320" s="1">
        <v>84</v>
      </c>
      <c r="H320" s="1">
        <v>33</v>
      </c>
      <c r="I320" s="1">
        <v>474</v>
      </c>
      <c r="J320" s="1">
        <v>35.700000000000003</v>
      </c>
      <c r="K320" s="1">
        <v>0.25800000000000001</v>
      </c>
      <c r="L320" s="1">
        <v>22</v>
      </c>
      <c r="M320" s="1">
        <v>1</v>
      </c>
      <c r="N320" s="1" t="s">
        <v>45</v>
      </c>
      <c r="O320" s="1" t="str">
        <f t="shared" si="14"/>
        <v>Young</v>
      </c>
    </row>
    <row r="321" spans="1:15" x14ac:dyDescent="0.3">
      <c r="A321" s="1">
        <v>2738</v>
      </c>
      <c r="B321" s="1" t="s">
        <v>9</v>
      </c>
      <c r="C321" s="2">
        <v>45015</v>
      </c>
      <c r="D321" s="2" t="str">
        <f t="shared" si="12"/>
        <v>Mar</v>
      </c>
      <c r="E321" s="2" t="str">
        <f t="shared" si="13"/>
        <v>2023</v>
      </c>
      <c r="F321" s="1">
        <v>83</v>
      </c>
      <c r="G321" s="1">
        <v>68</v>
      </c>
      <c r="H321" s="1">
        <v>7</v>
      </c>
      <c r="I321" s="1">
        <v>9</v>
      </c>
      <c r="J321" s="1">
        <v>18.2</v>
      </c>
      <c r="K321" s="1">
        <v>0.624</v>
      </c>
      <c r="L321" s="1">
        <v>27</v>
      </c>
      <c r="M321" s="1">
        <v>0</v>
      </c>
      <c r="N321" s="1" t="s">
        <v>46</v>
      </c>
      <c r="O321" s="1" t="str">
        <f t="shared" si="14"/>
        <v>Young</v>
      </c>
    </row>
    <row r="322" spans="1:15" x14ac:dyDescent="0.3">
      <c r="A322" s="1">
        <v>6911</v>
      </c>
      <c r="B322" s="1" t="s">
        <v>9</v>
      </c>
      <c r="C322" s="2">
        <v>44285</v>
      </c>
      <c r="D322" s="2" t="str">
        <f t="shared" si="12"/>
        <v>Mar</v>
      </c>
      <c r="E322" s="2" t="str">
        <f t="shared" si="13"/>
        <v>2021</v>
      </c>
      <c r="F322" s="1">
        <v>129</v>
      </c>
      <c r="G322" s="1">
        <v>64</v>
      </c>
      <c r="H322" s="1">
        <v>29</v>
      </c>
      <c r="I322" s="1">
        <v>115</v>
      </c>
      <c r="J322" s="1">
        <v>26.4</v>
      </c>
      <c r="K322" s="1">
        <v>0.219</v>
      </c>
      <c r="L322" s="1">
        <v>28</v>
      </c>
      <c r="M322" s="1">
        <v>1</v>
      </c>
      <c r="N322" s="1" t="s">
        <v>45</v>
      </c>
      <c r="O322" s="1" t="str">
        <f t="shared" si="14"/>
        <v>Young</v>
      </c>
    </row>
    <row r="323" spans="1:15" x14ac:dyDescent="0.3">
      <c r="A323" s="1">
        <v>3344</v>
      </c>
      <c r="B323" s="1" t="s">
        <v>9</v>
      </c>
      <c r="C323" s="2">
        <v>45430</v>
      </c>
      <c r="D323" s="2" t="str">
        <f t="shared" ref="D323:D386" si="15">TEXT(C323,"MMM")</f>
        <v>May</v>
      </c>
      <c r="E323" s="2" t="str">
        <f t="shared" ref="E323:E386" si="16">TEXT(C323,"YYY")</f>
        <v>2024</v>
      </c>
      <c r="F323" s="1">
        <v>119</v>
      </c>
      <c r="G323" s="1">
        <v>88</v>
      </c>
      <c r="H323" s="1">
        <v>41</v>
      </c>
      <c r="I323" s="1">
        <v>170</v>
      </c>
      <c r="J323" s="1">
        <v>45.3</v>
      </c>
      <c r="K323" s="1">
        <v>0.50700000000000001</v>
      </c>
      <c r="L323" s="1">
        <v>26</v>
      </c>
      <c r="M323" s="1">
        <v>0</v>
      </c>
      <c r="N323" s="1" t="s">
        <v>46</v>
      </c>
      <c r="O323" s="1" t="str">
        <f t="shared" ref="O323:O386" si="17">IF(L323&lt;=35,"Young",IF(L323&lt;=50,"Middle-Aged",IF(L323&lt;=65,"Old","Very Old")))</f>
        <v>Young</v>
      </c>
    </row>
    <row r="324" spans="1:15" x14ac:dyDescent="0.3">
      <c r="A324" s="1">
        <v>8119</v>
      </c>
      <c r="B324" s="1" t="s">
        <v>8</v>
      </c>
      <c r="C324" s="2">
        <v>45215</v>
      </c>
      <c r="D324" s="2" t="str">
        <f t="shared" si="15"/>
        <v>Oct</v>
      </c>
      <c r="E324" s="2" t="str">
        <f t="shared" si="16"/>
        <v>2023</v>
      </c>
      <c r="F324" s="1">
        <v>94</v>
      </c>
      <c r="G324" s="1">
        <v>68</v>
      </c>
      <c r="H324" s="1">
        <v>18</v>
      </c>
      <c r="I324" s="1">
        <v>76</v>
      </c>
      <c r="J324" s="1">
        <v>26</v>
      </c>
      <c r="K324" s="1">
        <v>0.56100000000000005</v>
      </c>
      <c r="L324" s="1">
        <v>21</v>
      </c>
      <c r="M324" s="1">
        <v>0</v>
      </c>
      <c r="N324" s="1" t="s">
        <v>46</v>
      </c>
      <c r="O324" s="1" t="str">
        <f t="shared" si="17"/>
        <v>Young</v>
      </c>
    </row>
    <row r="325" spans="1:15" x14ac:dyDescent="0.3">
      <c r="A325" s="1">
        <v>9105</v>
      </c>
      <c r="B325" s="1" t="s">
        <v>8</v>
      </c>
      <c r="C325" s="2">
        <v>45140</v>
      </c>
      <c r="D325" s="2" t="str">
        <f t="shared" si="15"/>
        <v>Aug</v>
      </c>
      <c r="E325" s="2" t="str">
        <f t="shared" si="16"/>
        <v>2023</v>
      </c>
      <c r="F325" s="1">
        <v>102</v>
      </c>
      <c r="G325" s="1">
        <v>64</v>
      </c>
      <c r="H325" s="1">
        <v>46</v>
      </c>
      <c r="I325" s="1">
        <v>78</v>
      </c>
      <c r="J325" s="1">
        <v>40.6</v>
      </c>
      <c r="K325" s="1">
        <v>0.496</v>
      </c>
      <c r="L325" s="1">
        <v>21</v>
      </c>
      <c r="M325" s="1">
        <v>0</v>
      </c>
      <c r="N325" s="1" t="s">
        <v>46</v>
      </c>
      <c r="O325" s="1" t="str">
        <f t="shared" si="17"/>
        <v>Young</v>
      </c>
    </row>
    <row r="326" spans="1:15" x14ac:dyDescent="0.3">
      <c r="A326" s="1">
        <v>5090</v>
      </c>
      <c r="B326" s="1" t="s">
        <v>8</v>
      </c>
      <c r="C326" s="2">
        <v>45622</v>
      </c>
      <c r="D326" s="2" t="str">
        <f t="shared" si="15"/>
        <v>Nov</v>
      </c>
      <c r="E326" s="2" t="str">
        <f t="shared" si="16"/>
        <v>2024</v>
      </c>
      <c r="F326" s="1">
        <v>151</v>
      </c>
      <c r="G326" s="1">
        <v>78</v>
      </c>
      <c r="H326" s="1">
        <v>32</v>
      </c>
      <c r="I326" s="1">
        <v>210</v>
      </c>
      <c r="J326" s="1">
        <v>42.9</v>
      </c>
      <c r="K326" s="1">
        <v>0.51600000000000001</v>
      </c>
      <c r="L326" s="1">
        <v>36</v>
      </c>
      <c r="M326" s="1">
        <v>1</v>
      </c>
      <c r="N326" s="1" t="s">
        <v>45</v>
      </c>
      <c r="O326" s="1" t="str">
        <f t="shared" si="17"/>
        <v>Middle-Aged</v>
      </c>
    </row>
    <row r="327" spans="1:15" x14ac:dyDescent="0.3">
      <c r="A327" s="1">
        <v>7370</v>
      </c>
      <c r="B327" s="1" t="s">
        <v>8</v>
      </c>
      <c r="C327" s="2">
        <v>45059</v>
      </c>
      <c r="D327" s="2" t="str">
        <f t="shared" si="15"/>
        <v>May</v>
      </c>
      <c r="E327" s="2" t="str">
        <f t="shared" si="16"/>
        <v>2023</v>
      </c>
      <c r="F327" s="1">
        <v>184</v>
      </c>
      <c r="G327" s="1">
        <v>78</v>
      </c>
      <c r="H327" s="1">
        <v>39</v>
      </c>
      <c r="I327" s="1">
        <v>277</v>
      </c>
      <c r="J327" s="1">
        <v>37</v>
      </c>
      <c r="K327" s="1">
        <v>0.26400000000000001</v>
      </c>
      <c r="L327" s="1">
        <v>31</v>
      </c>
      <c r="M327" s="1">
        <v>1</v>
      </c>
      <c r="N327" s="1" t="s">
        <v>45</v>
      </c>
      <c r="O327" s="1" t="str">
        <f t="shared" si="17"/>
        <v>Young</v>
      </c>
    </row>
    <row r="328" spans="1:15" x14ac:dyDescent="0.3">
      <c r="A328" s="1">
        <v>4196</v>
      </c>
      <c r="B328" s="1" t="s">
        <v>9</v>
      </c>
      <c r="C328" s="2">
        <v>44292</v>
      </c>
      <c r="D328" s="2" t="str">
        <f t="shared" si="15"/>
        <v>Apr</v>
      </c>
      <c r="E328" s="2" t="str">
        <f t="shared" si="16"/>
        <v>2021</v>
      </c>
      <c r="F328" s="1">
        <v>181</v>
      </c>
      <c r="G328" s="1">
        <v>64</v>
      </c>
      <c r="H328" s="1">
        <v>30</v>
      </c>
      <c r="I328" s="1">
        <v>180</v>
      </c>
      <c r="J328" s="1">
        <v>34.1</v>
      </c>
      <c r="K328" s="1">
        <v>0.32800000000000001</v>
      </c>
      <c r="L328" s="1">
        <v>38</v>
      </c>
      <c r="M328" s="1">
        <v>1</v>
      </c>
      <c r="N328" s="1" t="s">
        <v>45</v>
      </c>
      <c r="O328" s="1" t="str">
        <f t="shared" si="17"/>
        <v>Middle-Aged</v>
      </c>
    </row>
    <row r="329" spans="1:15" x14ac:dyDescent="0.3">
      <c r="A329" s="1">
        <v>4382</v>
      </c>
      <c r="B329" s="1" t="s">
        <v>8</v>
      </c>
      <c r="C329" s="2">
        <v>45134</v>
      </c>
      <c r="D329" s="2" t="str">
        <f t="shared" si="15"/>
        <v>Jul</v>
      </c>
      <c r="E329" s="2" t="str">
        <f t="shared" si="16"/>
        <v>2023</v>
      </c>
      <c r="F329" s="1">
        <v>135</v>
      </c>
      <c r="G329" s="1">
        <v>94</v>
      </c>
      <c r="H329" s="1">
        <v>46</v>
      </c>
      <c r="I329" s="1">
        <v>145</v>
      </c>
      <c r="J329" s="1">
        <v>40.6</v>
      </c>
      <c r="K329" s="1">
        <v>0.28399999999999997</v>
      </c>
      <c r="L329" s="1">
        <v>26</v>
      </c>
      <c r="M329" s="1">
        <v>0</v>
      </c>
      <c r="N329" s="1" t="s">
        <v>46</v>
      </c>
      <c r="O329" s="1" t="str">
        <f t="shared" si="17"/>
        <v>Young</v>
      </c>
    </row>
    <row r="330" spans="1:15" x14ac:dyDescent="0.3">
      <c r="A330" s="1">
        <v>9852</v>
      </c>
      <c r="B330" s="1" t="s">
        <v>9</v>
      </c>
      <c r="C330" s="2">
        <v>44563</v>
      </c>
      <c r="D330" s="2" t="str">
        <f t="shared" si="15"/>
        <v>Jan</v>
      </c>
      <c r="E330" s="2" t="str">
        <f t="shared" si="16"/>
        <v>2022</v>
      </c>
      <c r="F330" s="1">
        <v>95</v>
      </c>
      <c r="G330" s="1">
        <v>82</v>
      </c>
      <c r="H330" s="1">
        <v>25</v>
      </c>
      <c r="I330" s="1">
        <v>180</v>
      </c>
      <c r="J330" s="1">
        <v>35</v>
      </c>
      <c r="K330" s="1">
        <v>0.23300000000000001</v>
      </c>
      <c r="L330" s="1">
        <v>43</v>
      </c>
      <c r="M330" s="1">
        <v>1</v>
      </c>
      <c r="N330" s="1" t="s">
        <v>45</v>
      </c>
      <c r="O330" s="1" t="str">
        <f t="shared" si="17"/>
        <v>Middle-Aged</v>
      </c>
    </row>
    <row r="331" spans="1:15" x14ac:dyDescent="0.3">
      <c r="A331" s="1">
        <v>7649</v>
      </c>
      <c r="B331" s="1" t="s">
        <v>9</v>
      </c>
      <c r="C331" s="2">
        <v>44209</v>
      </c>
      <c r="D331" s="2" t="str">
        <f t="shared" si="15"/>
        <v>Jan</v>
      </c>
      <c r="E331" s="2" t="str">
        <f t="shared" si="16"/>
        <v>2021</v>
      </c>
      <c r="F331" s="1">
        <v>89</v>
      </c>
      <c r="G331" s="1">
        <v>74</v>
      </c>
      <c r="H331" s="1">
        <v>16</v>
      </c>
      <c r="I331" s="1">
        <v>85</v>
      </c>
      <c r="J331" s="1">
        <v>30.4</v>
      </c>
      <c r="K331" s="1">
        <v>0.55100000000000005</v>
      </c>
      <c r="L331" s="1">
        <v>38</v>
      </c>
      <c r="M331" s="1">
        <v>0</v>
      </c>
      <c r="N331" s="1" t="s">
        <v>46</v>
      </c>
      <c r="O331" s="1" t="str">
        <f t="shared" si="17"/>
        <v>Middle-Aged</v>
      </c>
    </row>
    <row r="332" spans="1:15" x14ac:dyDescent="0.3">
      <c r="A332" s="1">
        <v>3185</v>
      </c>
      <c r="B332" s="1" t="s">
        <v>9</v>
      </c>
      <c r="C332" s="2">
        <v>45190</v>
      </c>
      <c r="D332" s="2" t="str">
        <f t="shared" si="15"/>
        <v>Sep</v>
      </c>
      <c r="E332" s="2" t="str">
        <f t="shared" si="16"/>
        <v>2023</v>
      </c>
      <c r="F332" s="1">
        <v>80</v>
      </c>
      <c r="G332" s="1">
        <v>74</v>
      </c>
      <c r="H332" s="1">
        <v>11</v>
      </c>
      <c r="I332" s="1">
        <v>60</v>
      </c>
      <c r="J332" s="1">
        <v>30</v>
      </c>
      <c r="K332" s="1">
        <v>0.52700000000000002</v>
      </c>
      <c r="L332" s="1">
        <v>22</v>
      </c>
      <c r="M332" s="1">
        <v>0</v>
      </c>
      <c r="N332" s="1" t="s">
        <v>46</v>
      </c>
      <c r="O332" s="1" t="str">
        <f t="shared" si="17"/>
        <v>Young</v>
      </c>
    </row>
    <row r="333" spans="1:15" x14ac:dyDescent="0.3">
      <c r="A333" s="1">
        <v>3053</v>
      </c>
      <c r="B333" s="1" t="s">
        <v>8</v>
      </c>
      <c r="C333" s="2">
        <v>45589</v>
      </c>
      <c r="D333" s="2" t="str">
        <f t="shared" si="15"/>
        <v>Oct</v>
      </c>
      <c r="E333" s="2" t="str">
        <f t="shared" si="16"/>
        <v>2024</v>
      </c>
      <c r="F333" s="1">
        <v>139</v>
      </c>
      <c r="G333" s="1">
        <v>75</v>
      </c>
      <c r="H333" s="1">
        <v>7</v>
      </c>
      <c r="I333" s="1">
        <v>9</v>
      </c>
      <c r="J333" s="1">
        <v>25.6</v>
      </c>
      <c r="K333" s="1">
        <v>0.16700000000000001</v>
      </c>
      <c r="L333" s="1">
        <v>29</v>
      </c>
      <c r="M333" s="1">
        <v>0</v>
      </c>
      <c r="N333" s="1" t="s">
        <v>46</v>
      </c>
      <c r="O333" s="1" t="str">
        <f t="shared" si="17"/>
        <v>Young</v>
      </c>
    </row>
    <row r="334" spans="1:15" x14ac:dyDescent="0.3">
      <c r="A334" s="1">
        <v>8166</v>
      </c>
      <c r="B334" s="1" t="s">
        <v>9</v>
      </c>
      <c r="C334" s="2">
        <v>45318</v>
      </c>
      <c r="D334" s="2" t="str">
        <f t="shared" si="15"/>
        <v>Jan</v>
      </c>
      <c r="E334" s="2" t="str">
        <f t="shared" si="16"/>
        <v>2024</v>
      </c>
      <c r="F334" s="1">
        <v>147</v>
      </c>
      <c r="G334" s="1">
        <v>75</v>
      </c>
      <c r="H334" s="1">
        <v>7</v>
      </c>
      <c r="I334" s="1">
        <v>9</v>
      </c>
      <c r="J334" s="1">
        <v>29.9</v>
      </c>
      <c r="K334" s="1">
        <v>0.434</v>
      </c>
      <c r="L334" s="1">
        <v>28</v>
      </c>
      <c r="M334" s="1">
        <v>0</v>
      </c>
      <c r="N334" s="1" t="s">
        <v>46</v>
      </c>
      <c r="O334" s="1" t="str">
        <f t="shared" si="17"/>
        <v>Young</v>
      </c>
    </row>
    <row r="335" spans="1:15" x14ac:dyDescent="0.3">
      <c r="A335" s="1">
        <v>1938</v>
      </c>
      <c r="B335" s="1" t="s">
        <v>8</v>
      </c>
      <c r="C335" s="2">
        <v>45360</v>
      </c>
      <c r="D335" s="2" t="str">
        <f t="shared" si="15"/>
        <v>Mar</v>
      </c>
      <c r="E335" s="2" t="str">
        <f t="shared" si="16"/>
        <v>2024</v>
      </c>
      <c r="F335" s="1">
        <v>107</v>
      </c>
      <c r="G335" s="1">
        <v>88</v>
      </c>
      <c r="H335" s="1">
        <v>7</v>
      </c>
      <c r="I335" s="1">
        <v>9</v>
      </c>
      <c r="J335" s="1">
        <v>36.799999999999997</v>
      </c>
      <c r="K335" s="1">
        <v>0.72699999999999998</v>
      </c>
      <c r="L335" s="1">
        <v>31</v>
      </c>
      <c r="M335" s="1">
        <v>0</v>
      </c>
      <c r="N335" s="1" t="s">
        <v>46</v>
      </c>
      <c r="O335" s="1" t="str">
        <f t="shared" si="17"/>
        <v>Young</v>
      </c>
    </row>
    <row r="336" spans="1:15" x14ac:dyDescent="0.3">
      <c r="A336" s="1">
        <v>4143</v>
      </c>
      <c r="B336" s="1" t="s">
        <v>8</v>
      </c>
      <c r="C336" s="2">
        <v>44817</v>
      </c>
      <c r="D336" s="2" t="str">
        <f t="shared" si="15"/>
        <v>Sep</v>
      </c>
      <c r="E336" s="2" t="str">
        <f t="shared" si="16"/>
        <v>2022</v>
      </c>
      <c r="F336" s="1">
        <v>83</v>
      </c>
      <c r="G336" s="1">
        <v>66</v>
      </c>
      <c r="H336" s="1">
        <v>23</v>
      </c>
      <c r="I336" s="1">
        <v>50</v>
      </c>
      <c r="J336" s="1">
        <v>32.200000000000003</v>
      </c>
      <c r="K336" s="1">
        <v>0.497</v>
      </c>
      <c r="L336" s="1">
        <v>22</v>
      </c>
      <c r="M336" s="1">
        <v>0</v>
      </c>
      <c r="N336" s="1" t="s">
        <v>46</v>
      </c>
      <c r="O336" s="1" t="str">
        <f t="shared" si="17"/>
        <v>Young</v>
      </c>
    </row>
    <row r="337" spans="1:15" x14ac:dyDescent="0.3">
      <c r="A337" s="1">
        <v>3649</v>
      </c>
      <c r="B337" s="1" t="s">
        <v>8</v>
      </c>
      <c r="C337" s="2">
        <v>44459</v>
      </c>
      <c r="D337" s="2" t="str">
        <f t="shared" si="15"/>
        <v>Sep</v>
      </c>
      <c r="E337" s="2" t="str">
        <f t="shared" si="16"/>
        <v>2021</v>
      </c>
      <c r="F337" s="1">
        <v>117</v>
      </c>
      <c r="G337" s="1">
        <v>64</v>
      </c>
      <c r="H337" s="1">
        <v>27</v>
      </c>
      <c r="I337" s="1">
        <v>120</v>
      </c>
      <c r="J337" s="1">
        <v>33.200000000000003</v>
      </c>
      <c r="K337" s="1">
        <v>0.23</v>
      </c>
      <c r="L337" s="1">
        <v>24</v>
      </c>
      <c r="M337" s="1">
        <v>0</v>
      </c>
      <c r="N337" s="1" t="s">
        <v>46</v>
      </c>
      <c r="O337" s="1" t="str">
        <f t="shared" si="17"/>
        <v>Young</v>
      </c>
    </row>
    <row r="338" spans="1:15" x14ac:dyDescent="0.3">
      <c r="A338" s="1">
        <v>3585</v>
      </c>
      <c r="B338" s="1" t="s">
        <v>8</v>
      </c>
      <c r="C338" s="2">
        <v>44412</v>
      </c>
      <c r="D338" s="2" t="str">
        <f t="shared" si="15"/>
        <v>Aug</v>
      </c>
      <c r="E338" s="2" t="str">
        <f t="shared" si="16"/>
        <v>2021</v>
      </c>
      <c r="F338" s="1">
        <v>108</v>
      </c>
      <c r="G338" s="1">
        <v>70</v>
      </c>
      <c r="H338" s="1">
        <v>8</v>
      </c>
      <c r="I338" s="1">
        <v>9</v>
      </c>
      <c r="J338" s="1">
        <v>30.5</v>
      </c>
      <c r="K338" s="1">
        <v>0.95499999999999996</v>
      </c>
      <c r="L338" s="1">
        <v>33</v>
      </c>
      <c r="M338" s="1">
        <v>1</v>
      </c>
      <c r="N338" s="1" t="s">
        <v>45</v>
      </c>
      <c r="O338" s="1" t="str">
        <f t="shared" si="17"/>
        <v>Young</v>
      </c>
    </row>
    <row r="339" spans="1:15" x14ac:dyDescent="0.3">
      <c r="A339" s="1">
        <v>7613</v>
      </c>
      <c r="B339" s="1" t="s">
        <v>8</v>
      </c>
      <c r="C339" s="2">
        <v>45317</v>
      </c>
      <c r="D339" s="2" t="str">
        <f t="shared" si="15"/>
        <v>Jan</v>
      </c>
      <c r="E339" s="2" t="str">
        <f t="shared" si="16"/>
        <v>2024</v>
      </c>
      <c r="F339" s="1">
        <v>180</v>
      </c>
      <c r="G339" s="1">
        <v>78</v>
      </c>
      <c r="H339" s="1">
        <v>63</v>
      </c>
      <c r="I339" s="1">
        <v>14</v>
      </c>
      <c r="J339" s="1">
        <v>59.4</v>
      </c>
      <c r="K339" s="1">
        <v>2.42</v>
      </c>
      <c r="L339" s="1">
        <v>25</v>
      </c>
      <c r="M339" s="1">
        <v>1</v>
      </c>
      <c r="N339" s="1" t="s">
        <v>45</v>
      </c>
      <c r="O339" s="1" t="str">
        <f t="shared" si="17"/>
        <v>Young</v>
      </c>
    </row>
    <row r="340" spans="1:15" x14ac:dyDescent="0.3">
      <c r="A340" s="1">
        <v>4192</v>
      </c>
      <c r="B340" s="1" t="s">
        <v>9</v>
      </c>
      <c r="C340" s="2">
        <v>45394</v>
      </c>
      <c r="D340" s="2" t="str">
        <f t="shared" si="15"/>
        <v>Apr</v>
      </c>
      <c r="E340" s="2" t="str">
        <f t="shared" si="16"/>
        <v>2024</v>
      </c>
      <c r="F340" s="1">
        <v>100</v>
      </c>
      <c r="G340" s="1">
        <v>72</v>
      </c>
      <c r="H340" s="1">
        <v>12</v>
      </c>
      <c r="I340" s="1">
        <v>70</v>
      </c>
      <c r="J340" s="1">
        <v>25.3</v>
      </c>
      <c r="K340" s="1">
        <v>0.65800000000000003</v>
      </c>
      <c r="L340" s="1">
        <v>28</v>
      </c>
      <c r="M340" s="1">
        <v>0</v>
      </c>
      <c r="N340" s="1" t="s">
        <v>46</v>
      </c>
      <c r="O340" s="1" t="str">
        <f t="shared" si="17"/>
        <v>Young</v>
      </c>
    </row>
    <row r="341" spans="1:15" x14ac:dyDescent="0.3">
      <c r="A341" s="1">
        <v>4756</v>
      </c>
      <c r="B341" s="1" t="s">
        <v>8</v>
      </c>
      <c r="C341" s="2">
        <v>44386</v>
      </c>
      <c r="D341" s="2" t="str">
        <f t="shared" si="15"/>
        <v>Jul</v>
      </c>
      <c r="E341" s="2" t="str">
        <f t="shared" si="16"/>
        <v>2021</v>
      </c>
      <c r="F341" s="1">
        <v>95</v>
      </c>
      <c r="G341" s="1">
        <v>80</v>
      </c>
      <c r="H341" s="1">
        <v>45</v>
      </c>
      <c r="I341" s="1">
        <v>92</v>
      </c>
      <c r="J341" s="1">
        <v>36.5</v>
      </c>
      <c r="K341" s="1">
        <v>0.33</v>
      </c>
      <c r="L341" s="1">
        <v>26</v>
      </c>
      <c r="M341" s="1">
        <v>0</v>
      </c>
      <c r="N341" s="1" t="s">
        <v>46</v>
      </c>
      <c r="O341" s="1" t="str">
        <f t="shared" si="17"/>
        <v>Young</v>
      </c>
    </row>
    <row r="342" spans="1:15" x14ac:dyDescent="0.3">
      <c r="A342" s="1">
        <v>7600</v>
      </c>
      <c r="B342" s="1" t="s">
        <v>8</v>
      </c>
      <c r="C342" s="2">
        <v>44336</v>
      </c>
      <c r="D342" s="2" t="str">
        <f t="shared" si="15"/>
        <v>May</v>
      </c>
      <c r="E342" s="2" t="str">
        <f t="shared" si="16"/>
        <v>2021</v>
      </c>
      <c r="F342" s="1">
        <v>104</v>
      </c>
      <c r="G342" s="1">
        <v>64</v>
      </c>
      <c r="H342" s="1">
        <v>37</v>
      </c>
      <c r="I342" s="1">
        <v>64</v>
      </c>
      <c r="J342" s="1">
        <v>33.6</v>
      </c>
      <c r="K342" s="1">
        <v>0.51</v>
      </c>
      <c r="L342" s="1">
        <v>22</v>
      </c>
      <c r="M342" s="1">
        <v>1</v>
      </c>
      <c r="N342" s="1" t="s">
        <v>45</v>
      </c>
      <c r="O342" s="1" t="str">
        <f t="shared" si="17"/>
        <v>Young</v>
      </c>
    </row>
    <row r="343" spans="1:15" x14ac:dyDescent="0.3">
      <c r="A343" s="1">
        <v>7394</v>
      </c>
      <c r="B343" s="1" t="s">
        <v>8</v>
      </c>
      <c r="C343" s="2">
        <v>44197</v>
      </c>
      <c r="D343" s="2" t="str">
        <f t="shared" si="15"/>
        <v>Jan</v>
      </c>
      <c r="E343" s="2" t="str">
        <f t="shared" si="16"/>
        <v>2021</v>
      </c>
      <c r="F343" s="1">
        <v>120</v>
      </c>
      <c r="G343" s="1">
        <v>74</v>
      </c>
      <c r="H343" s="1">
        <v>18</v>
      </c>
      <c r="I343" s="1">
        <v>63</v>
      </c>
      <c r="J343" s="1">
        <v>30.5</v>
      </c>
      <c r="K343" s="1">
        <v>0.28499999999999998</v>
      </c>
      <c r="L343" s="1">
        <v>26</v>
      </c>
      <c r="M343" s="1">
        <v>0</v>
      </c>
      <c r="N343" s="1" t="s">
        <v>46</v>
      </c>
      <c r="O343" s="1" t="str">
        <f t="shared" si="17"/>
        <v>Young</v>
      </c>
    </row>
    <row r="344" spans="1:15" x14ac:dyDescent="0.3">
      <c r="A344" s="1">
        <v>9652</v>
      </c>
      <c r="B344" s="1" t="s">
        <v>9</v>
      </c>
      <c r="C344" s="2">
        <v>45184</v>
      </c>
      <c r="D344" s="2" t="str">
        <f t="shared" si="15"/>
        <v>Sep</v>
      </c>
      <c r="E344" s="2" t="str">
        <f t="shared" si="16"/>
        <v>2023</v>
      </c>
      <c r="F344" s="1">
        <v>82</v>
      </c>
      <c r="G344" s="1">
        <v>64</v>
      </c>
      <c r="H344" s="1">
        <v>13</v>
      </c>
      <c r="I344" s="1">
        <v>95</v>
      </c>
      <c r="J344" s="1">
        <v>21.2</v>
      </c>
      <c r="K344" s="1">
        <v>0.41499999999999998</v>
      </c>
      <c r="L344" s="1">
        <v>23</v>
      </c>
      <c r="M344" s="1">
        <v>0</v>
      </c>
      <c r="N344" s="1" t="s">
        <v>46</v>
      </c>
      <c r="O344" s="1" t="str">
        <f t="shared" si="17"/>
        <v>Young</v>
      </c>
    </row>
    <row r="345" spans="1:15" x14ac:dyDescent="0.3">
      <c r="A345" s="1">
        <v>7455</v>
      </c>
      <c r="B345" s="1" t="s">
        <v>8</v>
      </c>
      <c r="C345" s="2">
        <v>45045</v>
      </c>
      <c r="D345" s="2" t="str">
        <f t="shared" si="15"/>
        <v>Apr</v>
      </c>
      <c r="E345" s="2" t="str">
        <f t="shared" si="16"/>
        <v>2023</v>
      </c>
      <c r="F345" s="1">
        <v>134</v>
      </c>
      <c r="G345" s="1">
        <v>70</v>
      </c>
      <c r="H345" s="1">
        <v>8</v>
      </c>
      <c r="I345" s="1">
        <v>9</v>
      </c>
      <c r="J345" s="1">
        <v>28.9</v>
      </c>
      <c r="K345" s="1">
        <v>0.54200000000000004</v>
      </c>
      <c r="L345" s="1">
        <v>23</v>
      </c>
      <c r="M345" s="1">
        <v>1</v>
      </c>
      <c r="N345" s="1" t="s">
        <v>45</v>
      </c>
      <c r="O345" s="1" t="str">
        <f t="shared" si="17"/>
        <v>Young</v>
      </c>
    </row>
    <row r="346" spans="1:15" x14ac:dyDescent="0.3">
      <c r="A346" s="1">
        <v>6740</v>
      </c>
      <c r="B346" s="1" t="s">
        <v>8</v>
      </c>
      <c r="C346" s="2">
        <v>44645</v>
      </c>
      <c r="D346" s="2" t="str">
        <f t="shared" si="15"/>
        <v>Mar</v>
      </c>
      <c r="E346" s="2" t="str">
        <f t="shared" si="16"/>
        <v>2022</v>
      </c>
      <c r="F346" s="1">
        <v>91</v>
      </c>
      <c r="G346" s="1">
        <v>68</v>
      </c>
      <c r="H346" s="1">
        <v>32</v>
      </c>
      <c r="I346" s="1">
        <v>210</v>
      </c>
      <c r="J346" s="1">
        <v>39.9</v>
      </c>
      <c r="K346" s="1">
        <v>0.38100000000000001</v>
      </c>
      <c r="L346" s="1">
        <v>25</v>
      </c>
      <c r="M346" s="1">
        <v>0</v>
      </c>
      <c r="N346" s="1" t="s">
        <v>46</v>
      </c>
      <c r="O346" s="1" t="str">
        <f t="shared" si="17"/>
        <v>Young</v>
      </c>
    </row>
    <row r="347" spans="1:15" x14ac:dyDescent="0.3">
      <c r="A347" s="1">
        <v>1368</v>
      </c>
      <c r="B347" s="1" t="s">
        <v>8</v>
      </c>
      <c r="C347" s="2">
        <v>44561</v>
      </c>
      <c r="D347" s="2" t="str">
        <f t="shared" si="15"/>
        <v>Dec</v>
      </c>
      <c r="E347" s="2" t="str">
        <f t="shared" si="16"/>
        <v>2021</v>
      </c>
      <c r="F347" s="1">
        <v>100</v>
      </c>
      <c r="G347" s="1">
        <v>54</v>
      </c>
      <c r="H347" s="1">
        <v>28</v>
      </c>
      <c r="I347" s="1">
        <v>105</v>
      </c>
      <c r="J347" s="1">
        <v>37.799999999999997</v>
      </c>
      <c r="K347" s="1">
        <v>0.498</v>
      </c>
      <c r="L347" s="1">
        <v>24</v>
      </c>
      <c r="M347" s="1">
        <v>0</v>
      </c>
      <c r="N347" s="1" t="s">
        <v>46</v>
      </c>
      <c r="O347" s="1" t="str">
        <f t="shared" si="17"/>
        <v>Young</v>
      </c>
    </row>
    <row r="348" spans="1:15" x14ac:dyDescent="0.3">
      <c r="A348" s="1">
        <v>2838</v>
      </c>
      <c r="B348" s="1" t="s">
        <v>9</v>
      </c>
      <c r="C348" s="2">
        <v>45465</v>
      </c>
      <c r="D348" s="2" t="str">
        <f t="shared" si="15"/>
        <v>Jun</v>
      </c>
      <c r="E348" s="2" t="str">
        <f t="shared" si="16"/>
        <v>2024</v>
      </c>
      <c r="F348" s="1">
        <v>135</v>
      </c>
      <c r="G348" s="1">
        <v>54</v>
      </c>
      <c r="H348" s="1">
        <v>8</v>
      </c>
      <c r="I348" s="1">
        <v>9</v>
      </c>
      <c r="J348" s="1">
        <v>26.7</v>
      </c>
      <c r="K348" s="1">
        <v>0.68700000000000006</v>
      </c>
      <c r="L348" s="1">
        <v>62</v>
      </c>
      <c r="M348" s="1">
        <v>0</v>
      </c>
      <c r="N348" s="1" t="s">
        <v>46</v>
      </c>
      <c r="O348" s="1" t="str">
        <f t="shared" si="17"/>
        <v>Old</v>
      </c>
    </row>
    <row r="349" spans="1:15" x14ac:dyDescent="0.3">
      <c r="A349" s="1">
        <v>4024</v>
      </c>
      <c r="B349" s="1" t="s">
        <v>9</v>
      </c>
      <c r="C349" s="2">
        <v>44962</v>
      </c>
      <c r="D349" s="2" t="str">
        <f t="shared" si="15"/>
        <v>Feb</v>
      </c>
      <c r="E349" s="2" t="str">
        <f t="shared" si="16"/>
        <v>2023</v>
      </c>
      <c r="F349" s="1">
        <v>86</v>
      </c>
      <c r="G349" s="1">
        <v>68</v>
      </c>
      <c r="H349" s="1">
        <v>28</v>
      </c>
      <c r="I349" s="1">
        <v>71</v>
      </c>
      <c r="J349" s="1">
        <v>30.2</v>
      </c>
      <c r="K349" s="1">
        <v>0.36399999999999999</v>
      </c>
      <c r="L349" s="1">
        <v>24</v>
      </c>
      <c r="M349" s="1">
        <v>0</v>
      </c>
      <c r="N349" s="1" t="s">
        <v>46</v>
      </c>
      <c r="O349" s="1" t="str">
        <f t="shared" si="17"/>
        <v>Young</v>
      </c>
    </row>
    <row r="350" spans="1:15" x14ac:dyDescent="0.3">
      <c r="A350" s="1">
        <v>3625</v>
      </c>
      <c r="B350" s="1" t="s">
        <v>8</v>
      </c>
      <c r="C350" s="2">
        <v>44278</v>
      </c>
      <c r="D350" s="2" t="str">
        <f t="shared" si="15"/>
        <v>Mar</v>
      </c>
      <c r="E350" s="2" t="str">
        <f t="shared" si="16"/>
        <v>2021</v>
      </c>
      <c r="F350" s="1">
        <v>148</v>
      </c>
      <c r="G350" s="1">
        <v>84</v>
      </c>
      <c r="H350" s="1">
        <v>48</v>
      </c>
      <c r="I350" s="1">
        <v>237</v>
      </c>
      <c r="J350" s="1">
        <v>37.6</v>
      </c>
      <c r="K350" s="1">
        <v>1.0009999999999999</v>
      </c>
      <c r="L350" s="1">
        <v>51</v>
      </c>
      <c r="M350" s="1">
        <v>1</v>
      </c>
      <c r="N350" s="1" t="s">
        <v>45</v>
      </c>
      <c r="O350" s="1" t="str">
        <f t="shared" si="17"/>
        <v>Old</v>
      </c>
    </row>
    <row r="351" spans="1:15" x14ac:dyDescent="0.3">
      <c r="A351" s="1">
        <v>5302</v>
      </c>
      <c r="B351" s="1" t="s">
        <v>9</v>
      </c>
      <c r="C351" s="2">
        <v>45553</v>
      </c>
      <c r="D351" s="2" t="str">
        <f t="shared" si="15"/>
        <v>Sep</v>
      </c>
      <c r="E351" s="2" t="str">
        <f t="shared" si="16"/>
        <v>2024</v>
      </c>
      <c r="F351" s="1">
        <v>134</v>
      </c>
      <c r="G351" s="1">
        <v>74</v>
      </c>
      <c r="H351" s="1">
        <v>33</v>
      </c>
      <c r="I351" s="1">
        <v>60</v>
      </c>
      <c r="J351" s="1">
        <v>25.9</v>
      </c>
      <c r="K351" s="1">
        <v>0.46</v>
      </c>
      <c r="L351" s="1">
        <v>81</v>
      </c>
      <c r="M351" s="1">
        <v>0</v>
      </c>
      <c r="N351" s="1" t="s">
        <v>46</v>
      </c>
      <c r="O351" s="1" t="str">
        <f t="shared" si="17"/>
        <v>Very Old</v>
      </c>
    </row>
    <row r="352" spans="1:15" x14ac:dyDescent="0.3">
      <c r="A352" s="1">
        <v>1381</v>
      </c>
      <c r="B352" s="1" t="s">
        <v>9</v>
      </c>
      <c r="C352" s="2">
        <v>44758</v>
      </c>
      <c r="D352" s="2" t="str">
        <f t="shared" si="15"/>
        <v>Jul</v>
      </c>
      <c r="E352" s="2" t="str">
        <f t="shared" si="16"/>
        <v>2022</v>
      </c>
      <c r="F352" s="1">
        <v>120</v>
      </c>
      <c r="G352" s="1">
        <v>72</v>
      </c>
      <c r="H352" s="1">
        <v>22</v>
      </c>
      <c r="I352" s="1">
        <v>56</v>
      </c>
      <c r="J352" s="1">
        <v>20.8</v>
      </c>
      <c r="K352" s="1">
        <v>0.73299999999999998</v>
      </c>
      <c r="L352" s="1">
        <v>48</v>
      </c>
      <c r="M352" s="1">
        <v>0</v>
      </c>
      <c r="N352" s="1" t="s">
        <v>46</v>
      </c>
      <c r="O352" s="1" t="str">
        <f t="shared" si="17"/>
        <v>Middle-Aged</v>
      </c>
    </row>
    <row r="353" spans="1:15" x14ac:dyDescent="0.3">
      <c r="A353" s="1">
        <v>7229</v>
      </c>
      <c r="B353" s="1" t="s">
        <v>9</v>
      </c>
      <c r="C353" s="2">
        <v>44703</v>
      </c>
      <c r="D353" s="2" t="str">
        <f t="shared" si="15"/>
        <v>May</v>
      </c>
      <c r="E353" s="2" t="str">
        <f t="shared" si="16"/>
        <v>2022</v>
      </c>
      <c r="F353" s="1">
        <v>71</v>
      </c>
      <c r="G353" s="1">
        <v>62</v>
      </c>
      <c r="H353" s="1">
        <v>8</v>
      </c>
      <c r="I353" s="1">
        <v>9</v>
      </c>
      <c r="J353" s="1">
        <v>21.8</v>
      </c>
      <c r="K353" s="1">
        <v>0.41599999999999998</v>
      </c>
      <c r="L353" s="1">
        <v>26</v>
      </c>
      <c r="M353" s="1">
        <v>0</v>
      </c>
      <c r="N353" s="1" t="s">
        <v>46</v>
      </c>
      <c r="O353" s="1" t="str">
        <f t="shared" si="17"/>
        <v>Young</v>
      </c>
    </row>
    <row r="354" spans="1:15" x14ac:dyDescent="0.3">
      <c r="A354" s="1">
        <v>3822</v>
      </c>
      <c r="B354" s="1" t="s">
        <v>8</v>
      </c>
      <c r="C354" s="2">
        <v>45003</v>
      </c>
      <c r="D354" s="2" t="str">
        <f t="shared" si="15"/>
        <v>Mar</v>
      </c>
      <c r="E354" s="2" t="str">
        <f t="shared" si="16"/>
        <v>2023</v>
      </c>
      <c r="F354" s="1">
        <v>74</v>
      </c>
      <c r="G354" s="1">
        <v>70</v>
      </c>
      <c r="H354" s="1">
        <v>40</v>
      </c>
      <c r="I354" s="1">
        <v>49</v>
      </c>
      <c r="J354" s="1">
        <v>35.299999999999997</v>
      </c>
      <c r="K354" s="1">
        <v>0.70499999999999996</v>
      </c>
      <c r="L354" s="1">
        <v>39</v>
      </c>
      <c r="M354" s="1">
        <v>0</v>
      </c>
      <c r="N354" s="1" t="s">
        <v>46</v>
      </c>
      <c r="O354" s="1" t="str">
        <f t="shared" si="17"/>
        <v>Middle-Aged</v>
      </c>
    </row>
    <row r="355" spans="1:15" x14ac:dyDescent="0.3">
      <c r="A355" s="1">
        <v>3690</v>
      </c>
      <c r="B355" s="1" t="s">
        <v>8</v>
      </c>
      <c r="C355" s="2">
        <v>45016</v>
      </c>
      <c r="D355" s="2" t="str">
        <f t="shared" si="15"/>
        <v>Mar</v>
      </c>
      <c r="E355" s="2" t="str">
        <f t="shared" si="16"/>
        <v>2023</v>
      </c>
      <c r="F355" s="1">
        <v>115</v>
      </c>
      <c r="G355" s="1">
        <v>98</v>
      </c>
      <c r="H355" s="1">
        <v>8</v>
      </c>
      <c r="I355" s="1">
        <v>9</v>
      </c>
      <c r="J355" s="1">
        <v>24</v>
      </c>
      <c r="K355" s="1">
        <v>1.022</v>
      </c>
      <c r="L355" s="1">
        <v>34</v>
      </c>
      <c r="M355" s="1">
        <v>0</v>
      </c>
      <c r="N355" s="1" t="s">
        <v>46</v>
      </c>
      <c r="O355" s="1" t="str">
        <f t="shared" si="17"/>
        <v>Young</v>
      </c>
    </row>
    <row r="356" spans="1:15" x14ac:dyDescent="0.3">
      <c r="A356" s="1">
        <v>9848</v>
      </c>
      <c r="B356" s="1" t="s">
        <v>8</v>
      </c>
      <c r="C356" s="2">
        <v>45589</v>
      </c>
      <c r="D356" s="2" t="str">
        <f t="shared" si="15"/>
        <v>Oct</v>
      </c>
      <c r="E356" s="2" t="str">
        <f t="shared" si="16"/>
        <v>2024</v>
      </c>
      <c r="F356" s="1">
        <v>124</v>
      </c>
      <c r="G356" s="1">
        <v>56</v>
      </c>
      <c r="H356" s="1">
        <v>13</v>
      </c>
      <c r="I356" s="1">
        <v>105</v>
      </c>
      <c r="J356" s="1">
        <v>21.8</v>
      </c>
      <c r="K356" s="1">
        <v>0.45200000000000001</v>
      </c>
      <c r="L356" s="1">
        <v>21</v>
      </c>
      <c r="M356" s="1">
        <v>0</v>
      </c>
      <c r="N356" s="1" t="s">
        <v>46</v>
      </c>
      <c r="O356" s="1" t="str">
        <f t="shared" si="17"/>
        <v>Young</v>
      </c>
    </row>
    <row r="357" spans="1:15" x14ac:dyDescent="0.3">
      <c r="A357" s="1">
        <v>9037</v>
      </c>
      <c r="B357" s="1" t="s">
        <v>8</v>
      </c>
      <c r="C357" s="2">
        <v>45042</v>
      </c>
      <c r="D357" s="2" t="str">
        <f t="shared" si="15"/>
        <v>Apr</v>
      </c>
      <c r="E357" s="2" t="str">
        <f t="shared" si="16"/>
        <v>2023</v>
      </c>
      <c r="F357" s="1">
        <v>74</v>
      </c>
      <c r="G357" s="1">
        <v>52</v>
      </c>
      <c r="H357" s="1">
        <v>10</v>
      </c>
      <c r="I357" s="1">
        <v>36</v>
      </c>
      <c r="J357" s="1">
        <v>27.8</v>
      </c>
      <c r="K357" s="1">
        <v>0.26900000000000002</v>
      </c>
      <c r="L357" s="1">
        <v>22</v>
      </c>
      <c r="M357" s="1">
        <v>0</v>
      </c>
      <c r="N357" s="1" t="s">
        <v>46</v>
      </c>
      <c r="O357" s="1" t="str">
        <f t="shared" si="17"/>
        <v>Young</v>
      </c>
    </row>
    <row r="358" spans="1:15" x14ac:dyDescent="0.3">
      <c r="A358" s="1">
        <v>2320</v>
      </c>
      <c r="B358" s="1" t="s">
        <v>8</v>
      </c>
      <c r="C358" s="2">
        <v>44829</v>
      </c>
      <c r="D358" s="2" t="str">
        <f t="shared" si="15"/>
        <v>Sep</v>
      </c>
      <c r="E358" s="2" t="str">
        <f t="shared" si="16"/>
        <v>2022</v>
      </c>
      <c r="F358" s="1">
        <v>97</v>
      </c>
      <c r="G358" s="1">
        <v>64</v>
      </c>
      <c r="H358" s="1">
        <v>36</v>
      </c>
      <c r="I358" s="1">
        <v>100</v>
      </c>
      <c r="J358" s="1">
        <v>36.799999999999997</v>
      </c>
      <c r="K358" s="1">
        <v>0.6</v>
      </c>
      <c r="L358" s="1">
        <v>25</v>
      </c>
      <c r="M358" s="1">
        <v>0</v>
      </c>
      <c r="N358" s="1" t="s">
        <v>46</v>
      </c>
      <c r="O358" s="1" t="str">
        <f t="shared" si="17"/>
        <v>Young</v>
      </c>
    </row>
    <row r="359" spans="1:15" x14ac:dyDescent="0.3">
      <c r="A359" s="1">
        <v>5803</v>
      </c>
      <c r="B359" s="1" t="s">
        <v>8</v>
      </c>
      <c r="C359" s="2">
        <v>45624</v>
      </c>
      <c r="D359" s="2" t="str">
        <f t="shared" si="15"/>
        <v>Nov</v>
      </c>
      <c r="E359" s="2" t="str">
        <f t="shared" si="16"/>
        <v>2024</v>
      </c>
      <c r="F359" s="1">
        <v>154</v>
      </c>
      <c r="G359" s="1">
        <v>78</v>
      </c>
      <c r="H359" s="1">
        <v>41</v>
      </c>
      <c r="I359" s="1">
        <v>140</v>
      </c>
      <c r="J359" s="1">
        <v>46.1</v>
      </c>
      <c r="K359" s="1">
        <v>0.57099999999999995</v>
      </c>
      <c r="L359" s="1">
        <v>27</v>
      </c>
      <c r="M359" s="1">
        <v>0</v>
      </c>
      <c r="N359" s="1" t="s">
        <v>46</v>
      </c>
      <c r="O359" s="1" t="str">
        <f t="shared" si="17"/>
        <v>Young</v>
      </c>
    </row>
    <row r="360" spans="1:15" x14ac:dyDescent="0.3">
      <c r="A360" s="1">
        <v>2415</v>
      </c>
      <c r="B360" s="1" t="s">
        <v>9</v>
      </c>
      <c r="C360" s="2">
        <v>44815</v>
      </c>
      <c r="D360" s="2" t="str">
        <f t="shared" si="15"/>
        <v>Sep</v>
      </c>
      <c r="E360" s="2" t="str">
        <f t="shared" si="16"/>
        <v>2022</v>
      </c>
      <c r="F360" s="1">
        <v>136</v>
      </c>
      <c r="G360" s="1">
        <v>90</v>
      </c>
      <c r="H360" s="1">
        <v>8</v>
      </c>
      <c r="I360" s="1">
        <v>9</v>
      </c>
      <c r="J360" s="1">
        <v>29.9</v>
      </c>
      <c r="K360" s="1">
        <v>0.21</v>
      </c>
      <c r="L360" s="1">
        <v>50</v>
      </c>
      <c r="M360" s="1">
        <v>0</v>
      </c>
      <c r="N360" s="1" t="s">
        <v>46</v>
      </c>
      <c r="O360" s="1" t="str">
        <f t="shared" si="17"/>
        <v>Middle-Aged</v>
      </c>
    </row>
    <row r="361" spans="1:15" x14ac:dyDescent="0.3">
      <c r="A361" s="1">
        <v>6384</v>
      </c>
      <c r="B361" s="1" t="s">
        <v>8</v>
      </c>
      <c r="C361" s="2">
        <v>44518</v>
      </c>
      <c r="D361" s="2" t="str">
        <f t="shared" si="15"/>
        <v>Nov</v>
      </c>
      <c r="E361" s="2" t="str">
        <f t="shared" si="16"/>
        <v>2021</v>
      </c>
      <c r="F361" s="1">
        <v>114</v>
      </c>
      <c r="G361" s="1">
        <v>64</v>
      </c>
      <c r="H361" s="1">
        <v>8</v>
      </c>
      <c r="I361" s="1">
        <v>9</v>
      </c>
      <c r="J361" s="1">
        <v>28.9</v>
      </c>
      <c r="K361" s="1">
        <v>0.126</v>
      </c>
      <c r="L361" s="1">
        <v>24</v>
      </c>
      <c r="M361" s="1">
        <v>0</v>
      </c>
      <c r="N361" s="1" t="s">
        <v>46</v>
      </c>
      <c r="O361" s="1" t="str">
        <f t="shared" si="17"/>
        <v>Young</v>
      </c>
    </row>
    <row r="362" spans="1:15" x14ac:dyDescent="0.3">
      <c r="A362" s="1">
        <v>9187</v>
      </c>
      <c r="B362" s="1" t="s">
        <v>8</v>
      </c>
      <c r="C362" s="2">
        <v>44230</v>
      </c>
      <c r="D362" s="2" t="str">
        <f t="shared" si="15"/>
        <v>Feb</v>
      </c>
      <c r="E362" s="2" t="str">
        <f t="shared" si="16"/>
        <v>2021</v>
      </c>
      <c r="F362" s="1">
        <v>105</v>
      </c>
      <c r="G362" s="1">
        <v>80</v>
      </c>
      <c r="H362" s="1">
        <v>45</v>
      </c>
      <c r="I362" s="1">
        <v>191</v>
      </c>
      <c r="J362" s="1">
        <v>33.700000000000003</v>
      </c>
      <c r="K362" s="1">
        <v>0.71099999999999997</v>
      </c>
      <c r="L362" s="1">
        <v>29</v>
      </c>
      <c r="M362" s="1">
        <v>1</v>
      </c>
      <c r="N362" s="1" t="s">
        <v>45</v>
      </c>
      <c r="O362" s="1" t="str">
        <f t="shared" si="17"/>
        <v>Young</v>
      </c>
    </row>
    <row r="363" spans="1:15" x14ac:dyDescent="0.3">
      <c r="A363" s="1">
        <v>2776</v>
      </c>
      <c r="B363" s="1" t="s">
        <v>9</v>
      </c>
      <c r="C363" s="2">
        <v>44291</v>
      </c>
      <c r="D363" s="2" t="str">
        <f t="shared" si="15"/>
        <v>Apr</v>
      </c>
      <c r="E363" s="2" t="str">
        <f t="shared" si="16"/>
        <v>2021</v>
      </c>
      <c r="F363" s="1">
        <v>114</v>
      </c>
      <c r="G363" s="1">
        <v>76</v>
      </c>
      <c r="H363" s="1">
        <v>17</v>
      </c>
      <c r="I363" s="1">
        <v>110</v>
      </c>
      <c r="J363" s="1">
        <v>23.8</v>
      </c>
      <c r="K363" s="1">
        <v>0.46600000000000003</v>
      </c>
      <c r="L363" s="1">
        <v>31</v>
      </c>
      <c r="M363" s="1">
        <v>0</v>
      </c>
      <c r="N363" s="1" t="s">
        <v>46</v>
      </c>
      <c r="O363" s="1" t="str">
        <f t="shared" si="17"/>
        <v>Young</v>
      </c>
    </row>
    <row r="364" spans="1:15" x14ac:dyDescent="0.3">
      <c r="A364" s="1">
        <v>8686</v>
      </c>
      <c r="B364" s="1" t="s">
        <v>8</v>
      </c>
      <c r="C364" s="2">
        <v>44678</v>
      </c>
      <c r="D364" s="2" t="str">
        <f t="shared" si="15"/>
        <v>Apr</v>
      </c>
      <c r="E364" s="2" t="str">
        <f t="shared" si="16"/>
        <v>2022</v>
      </c>
      <c r="F364" s="1">
        <v>126</v>
      </c>
      <c r="G364" s="1">
        <v>74</v>
      </c>
      <c r="H364" s="1">
        <v>38</v>
      </c>
      <c r="I364" s="1">
        <v>75</v>
      </c>
      <c r="J364" s="1">
        <v>25.9</v>
      </c>
      <c r="K364" s="1">
        <v>0.16200000000000001</v>
      </c>
      <c r="L364" s="1">
        <v>39</v>
      </c>
      <c r="M364" s="1">
        <v>0</v>
      </c>
      <c r="N364" s="1" t="s">
        <v>46</v>
      </c>
      <c r="O364" s="1" t="str">
        <f t="shared" si="17"/>
        <v>Middle-Aged</v>
      </c>
    </row>
    <row r="365" spans="1:15" x14ac:dyDescent="0.3">
      <c r="A365" s="1">
        <v>2898</v>
      </c>
      <c r="B365" s="1" t="s">
        <v>9</v>
      </c>
      <c r="C365" s="2">
        <v>45204</v>
      </c>
      <c r="D365" s="2" t="str">
        <f t="shared" si="15"/>
        <v>Oct</v>
      </c>
      <c r="E365" s="2" t="str">
        <f t="shared" si="16"/>
        <v>2023</v>
      </c>
      <c r="F365" s="1">
        <v>158</v>
      </c>
      <c r="G365" s="1">
        <v>70</v>
      </c>
      <c r="H365" s="1">
        <v>30</v>
      </c>
      <c r="I365" s="1">
        <v>328</v>
      </c>
      <c r="J365" s="1">
        <v>35.5</v>
      </c>
      <c r="K365" s="1">
        <v>0.34399999999999997</v>
      </c>
      <c r="L365" s="1">
        <v>35</v>
      </c>
      <c r="M365" s="1">
        <v>1</v>
      </c>
      <c r="N365" s="1" t="s">
        <v>45</v>
      </c>
      <c r="O365" s="1" t="str">
        <f t="shared" si="17"/>
        <v>Young</v>
      </c>
    </row>
    <row r="366" spans="1:15" x14ac:dyDescent="0.3">
      <c r="A366" s="1">
        <v>9341</v>
      </c>
      <c r="B366" s="1" t="s">
        <v>8</v>
      </c>
      <c r="C366" s="2">
        <v>45465</v>
      </c>
      <c r="D366" s="2" t="str">
        <f t="shared" si="15"/>
        <v>Jun</v>
      </c>
      <c r="E366" s="2" t="str">
        <f t="shared" si="16"/>
        <v>2024</v>
      </c>
      <c r="F366" s="1">
        <v>85</v>
      </c>
      <c r="G366" s="1">
        <v>58</v>
      </c>
      <c r="H366" s="1">
        <v>22</v>
      </c>
      <c r="I366" s="1">
        <v>49</v>
      </c>
      <c r="J366" s="1">
        <v>27.8</v>
      </c>
      <c r="K366" s="1">
        <v>0.30599999999999999</v>
      </c>
      <c r="L366" s="1">
        <v>28</v>
      </c>
      <c r="M366" s="1">
        <v>0</v>
      </c>
      <c r="N366" s="1" t="s">
        <v>46</v>
      </c>
      <c r="O366" s="1" t="str">
        <f t="shared" si="17"/>
        <v>Young</v>
      </c>
    </row>
    <row r="367" spans="1:15" x14ac:dyDescent="0.3">
      <c r="A367" s="1">
        <v>3108</v>
      </c>
      <c r="B367" s="1" t="s">
        <v>8</v>
      </c>
      <c r="C367" s="2">
        <v>44446</v>
      </c>
      <c r="D367" s="2" t="str">
        <f t="shared" si="15"/>
        <v>Sep</v>
      </c>
      <c r="E367" s="2" t="str">
        <f t="shared" si="16"/>
        <v>2021</v>
      </c>
      <c r="F367" s="1">
        <v>84</v>
      </c>
      <c r="G367" s="1">
        <v>82</v>
      </c>
      <c r="H367" s="1">
        <v>31</v>
      </c>
      <c r="I367" s="1">
        <v>125</v>
      </c>
      <c r="J367" s="1">
        <v>38.200000000000003</v>
      </c>
      <c r="K367" s="1">
        <v>0.23300000000000001</v>
      </c>
      <c r="L367" s="1">
        <v>23</v>
      </c>
      <c r="M367" s="1">
        <v>0</v>
      </c>
      <c r="N367" s="1" t="s">
        <v>46</v>
      </c>
      <c r="O367" s="1" t="str">
        <f t="shared" si="17"/>
        <v>Young</v>
      </c>
    </row>
    <row r="368" spans="1:15" x14ac:dyDescent="0.3">
      <c r="A368" s="1">
        <v>1304</v>
      </c>
      <c r="B368" s="1" t="s">
        <v>8</v>
      </c>
      <c r="C368" s="2">
        <v>45611</v>
      </c>
      <c r="D368" s="2" t="str">
        <f t="shared" si="15"/>
        <v>Nov</v>
      </c>
      <c r="E368" s="2" t="str">
        <f t="shared" si="16"/>
        <v>2024</v>
      </c>
      <c r="F368" s="1">
        <v>135</v>
      </c>
      <c r="G368" s="1">
        <v>68</v>
      </c>
      <c r="H368" s="1">
        <v>42</v>
      </c>
      <c r="I368" s="1">
        <v>250</v>
      </c>
      <c r="J368" s="1">
        <v>42.3</v>
      </c>
      <c r="K368" s="1">
        <v>0.36499999999999999</v>
      </c>
      <c r="L368" s="1">
        <v>24</v>
      </c>
      <c r="M368" s="1">
        <v>1</v>
      </c>
      <c r="N368" s="1" t="s">
        <v>45</v>
      </c>
      <c r="O368" s="1" t="str">
        <f t="shared" si="17"/>
        <v>Young</v>
      </c>
    </row>
    <row r="369" spans="1:15" x14ac:dyDescent="0.3">
      <c r="A369" s="1">
        <v>3147</v>
      </c>
      <c r="B369" s="1" t="s">
        <v>9</v>
      </c>
      <c r="C369" s="2">
        <v>45154</v>
      </c>
      <c r="D369" s="2" t="str">
        <f t="shared" si="15"/>
        <v>Aug</v>
      </c>
      <c r="E369" s="2" t="str">
        <f t="shared" si="16"/>
        <v>2023</v>
      </c>
      <c r="F369" s="1">
        <v>139</v>
      </c>
      <c r="G369" s="1">
        <v>62</v>
      </c>
      <c r="H369" s="1">
        <v>41</v>
      </c>
      <c r="I369" s="1">
        <v>480</v>
      </c>
      <c r="J369" s="1">
        <v>40.700000000000003</v>
      </c>
      <c r="K369" s="1">
        <v>0.53600000000000003</v>
      </c>
      <c r="L369" s="1">
        <v>21</v>
      </c>
      <c r="M369" s="1">
        <v>0</v>
      </c>
      <c r="N369" s="1" t="s">
        <v>46</v>
      </c>
      <c r="O369" s="1" t="str">
        <f t="shared" si="17"/>
        <v>Young</v>
      </c>
    </row>
    <row r="370" spans="1:15" x14ac:dyDescent="0.3">
      <c r="A370" s="1">
        <v>1520</v>
      </c>
      <c r="B370" s="1" t="s">
        <v>8</v>
      </c>
      <c r="C370" s="2">
        <v>45334</v>
      </c>
      <c r="D370" s="2" t="str">
        <f t="shared" si="15"/>
        <v>Feb</v>
      </c>
      <c r="E370" s="2" t="str">
        <f t="shared" si="16"/>
        <v>2024</v>
      </c>
      <c r="F370" s="1">
        <v>173</v>
      </c>
      <c r="G370" s="1">
        <v>78</v>
      </c>
      <c r="H370" s="1">
        <v>32</v>
      </c>
      <c r="I370" s="1">
        <v>265</v>
      </c>
      <c r="J370" s="1">
        <v>46.5</v>
      </c>
      <c r="K370" s="1">
        <v>1.159</v>
      </c>
      <c r="L370" s="1">
        <v>58</v>
      </c>
      <c r="M370" s="1">
        <v>0</v>
      </c>
      <c r="N370" s="1" t="s">
        <v>46</v>
      </c>
      <c r="O370" s="1" t="str">
        <f t="shared" si="17"/>
        <v>Old</v>
      </c>
    </row>
    <row r="371" spans="1:15" x14ac:dyDescent="0.3">
      <c r="A371" s="1">
        <v>2075</v>
      </c>
      <c r="B371" s="1" t="s">
        <v>8</v>
      </c>
      <c r="C371" s="2">
        <v>45200</v>
      </c>
      <c r="D371" s="2" t="str">
        <f t="shared" si="15"/>
        <v>Oct</v>
      </c>
      <c r="E371" s="2" t="str">
        <f t="shared" si="16"/>
        <v>2023</v>
      </c>
      <c r="F371" s="1">
        <v>194</v>
      </c>
      <c r="G371" s="1">
        <v>80</v>
      </c>
      <c r="H371" s="1">
        <v>8</v>
      </c>
      <c r="I371" s="1">
        <v>9</v>
      </c>
      <c r="J371" s="1">
        <v>26.1</v>
      </c>
      <c r="K371" s="1">
        <v>0.55100000000000005</v>
      </c>
      <c r="L371" s="1">
        <v>67</v>
      </c>
      <c r="M371" s="1">
        <v>0</v>
      </c>
      <c r="N371" s="1" t="s">
        <v>46</v>
      </c>
      <c r="O371" s="1" t="str">
        <f t="shared" si="17"/>
        <v>Very Old</v>
      </c>
    </row>
    <row r="372" spans="1:15" x14ac:dyDescent="0.3">
      <c r="A372" s="1">
        <v>2332</v>
      </c>
      <c r="B372" s="1" t="s">
        <v>8</v>
      </c>
      <c r="C372" s="2">
        <v>45426</v>
      </c>
      <c r="D372" s="2" t="str">
        <f t="shared" si="15"/>
        <v>May</v>
      </c>
      <c r="E372" s="2" t="str">
        <f t="shared" si="16"/>
        <v>2024</v>
      </c>
      <c r="F372" s="1">
        <v>83</v>
      </c>
      <c r="G372" s="1">
        <v>65</v>
      </c>
      <c r="H372" s="1">
        <v>28</v>
      </c>
      <c r="I372" s="1">
        <v>66</v>
      </c>
      <c r="J372" s="1">
        <v>36.799999999999997</v>
      </c>
      <c r="K372" s="1">
        <v>0.629</v>
      </c>
      <c r="L372" s="1">
        <v>24</v>
      </c>
      <c r="M372" s="1">
        <v>0</v>
      </c>
      <c r="N372" s="1" t="s">
        <v>46</v>
      </c>
      <c r="O372" s="1" t="str">
        <f t="shared" si="17"/>
        <v>Young</v>
      </c>
    </row>
    <row r="373" spans="1:15" x14ac:dyDescent="0.3">
      <c r="A373" s="1">
        <v>7325</v>
      </c>
      <c r="B373" s="1" t="s">
        <v>8</v>
      </c>
      <c r="C373" s="2">
        <v>45348</v>
      </c>
      <c r="D373" s="2" t="str">
        <f t="shared" si="15"/>
        <v>Feb</v>
      </c>
      <c r="E373" s="2" t="str">
        <f t="shared" si="16"/>
        <v>2024</v>
      </c>
      <c r="F373" s="1">
        <v>125</v>
      </c>
      <c r="G373" s="1">
        <v>70</v>
      </c>
      <c r="H373" s="1">
        <v>18</v>
      </c>
      <c r="I373" s="1">
        <v>122</v>
      </c>
      <c r="J373" s="1">
        <v>28.9</v>
      </c>
      <c r="K373" s="1">
        <v>1.1439999999999999</v>
      </c>
      <c r="L373" s="1">
        <v>45</v>
      </c>
      <c r="M373" s="1">
        <v>1</v>
      </c>
      <c r="N373" s="1" t="s">
        <v>45</v>
      </c>
      <c r="O373" s="1" t="str">
        <f t="shared" si="17"/>
        <v>Middle-Aged</v>
      </c>
    </row>
    <row r="374" spans="1:15" x14ac:dyDescent="0.3">
      <c r="A374" s="1">
        <v>7943</v>
      </c>
      <c r="B374" s="1" t="s">
        <v>8</v>
      </c>
      <c r="C374" s="2">
        <v>44648</v>
      </c>
      <c r="D374" s="2" t="str">
        <f t="shared" si="15"/>
        <v>Mar</v>
      </c>
      <c r="E374" s="2" t="str">
        <f t="shared" si="16"/>
        <v>2022</v>
      </c>
      <c r="F374" s="1">
        <v>166</v>
      </c>
      <c r="G374" s="1">
        <v>74</v>
      </c>
      <c r="H374" s="1">
        <v>8</v>
      </c>
      <c r="I374" s="1">
        <v>9</v>
      </c>
      <c r="J374" s="1">
        <v>26.6</v>
      </c>
      <c r="K374" s="1">
        <v>0.30399999999999999</v>
      </c>
      <c r="L374" s="1">
        <v>66</v>
      </c>
      <c r="M374" s="1">
        <v>0</v>
      </c>
      <c r="N374" s="1" t="s">
        <v>46</v>
      </c>
      <c r="O374" s="1" t="str">
        <f t="shared" si="17"/>
        <v>Very Old</v>
      </c>
    </row>
    <row r="375" spans="1:15" x14ac:dyDescent="0.3">
      <c r="A375" s="1">
        <v>4656</v>
      </c>
      <c r="B375" s="1" t="s">
        <v>9</v>
      </c>
      <c r="C375" s="2">
        <v>44903</v>
      </c>
      <c r="D375" s="2" t="str">
        <f t="shared" si="15"/>
        <v>Dec</v>
      </c>
      <c r="E375" s="2" t="str">
        <f t="shared" si="16"/>
        <v>2022</v>
      </c>
      <c r="F375" s="1">
        <v>110</v>
      </c>
      <c r="G375" s="1">
        <v>68</v>
      </c>
      <c r="H375" s="1">
        <v>8</v>
      </c>
      <c r="I375" s="1">
        <v>9</v>
      </c>
      <c r="J375" s="1">
        <v>26</v>
      </c>
      <c r="K375" s="1">
        <v>0.29199999999999998</v>
      </c>
      <c r="L375" s="1">
        <v>30</v>
      </c>
      <c r="M375" s="1">
        <v>0</v>
      </c>
      <c r="N375" s="1" t="s">
        <v>46</v>
      </c>
      <c r="O375" s="1" t="str">
        <f t="shared" si="17"/>
        <v>Young</v>
      </c>
    </row>
    <row r="376" spans="1:15" x14ac:dyDescent="0.3">
      <c r="A376" s="1">
        <v>3340</v>
      </c>
      <c r="B376" s="1" t="s">
        <v>8</v>
      </c>
      <c r="C376" s="2">
        <v>44958</v>
      </c>
      <c r="D376" s="2" t="str">
        <f t="shared" si="15"/>
        <v>Feb</v>
      </c>
      <c r="E376" s="2" t="str">
        <f t="shared" si="16"/>
        <v>2023</v>
      </c>
      <c r="F376" s="1">
        <v>81</v>
      </c>
      <c r="G376" s="1">
        <v>72</v>
      </c>
      <c r="H376" s="1">
        <v>15</v>
      </c>
      <c r="I376" s="1">
        <v>76</v>
      </c>
      <c r="J376" s="1">
        <v>30.1</v>
      </c>
      <c r="K376" s="1">
        <v>0.54700000000000004</v>
      </c>
      <c r="L376" s="1">
        <v>25</v>
      </c>
      <c r="M376" s="1">
        <v>0</v>
      </c>
      <c r="N376" s="1" t="s">
        <v>46</v>
      </c>
      <c r="O376" s="1" t="str">
        <f t="shared" si="17"/>
        <v>Young</v>
      </c>
    </row>
    <row r="377" spans="1:15" x14ac:dyDescent="0.3">
      <c r="A377" s="1">
        <v>7979</v>
      </c>
      <c r="B377" s="1" t="s">
        <v>9</v>
      </c>
      <c r="C377" s="2">
        <v>44208</v>
      </c>
      <c r="D377" s="2" t="str">
        <f t="shared" si="15"/>
        <v>Jan</v>
      </c>
      <c r="E377" s="2" t="str">
        <f t="shared" si="16"/>
        <v>2021</v>
      </c>
      <c r="F377" s="1">
        <v>195</v>
      </c>
      <c r="G377" s="1">
        <v>70</v>
      </c>
      <c r="H377" s="1">
        <v>33</v>
      </c>
      <c r="I377" s="1">
        <v>145</v>
      </c>
      <c r="J377" s="1">
        <v>25.1</v>
      </c>
      <c r="K377" s="1">
        <v>0.16300000000000001</v>
      </c>
      <c r="L377" s="1">
        <v>55</v>
      </c>
      <c r="M377" s="1">
        <v>1</v>
      </c>
      <c r="N377" s="1" t="s">
        <v>45</v>
      </c>
      <c r="O377" s="1" t="str">
        <f t="shared" si="17"/>
        <v>Old</v>
      </c>
    </row>
    <row r="378" spans="1:15" x14ac:dyDescent="0.3">
      <c r="A378" s="1">
        <v>8225</v>
      </c>
      <c r="B378" s="1" t="s">
        <v>8</v>
      </c>
      <c r="C378" s="2">
        <v>44925</v>
      </c>
      <c r="D378" s="2" t="str">
        <f t="shared" si="15"/>
        <v>Dec</v>
      </c>
      <c r="E378" s="2" t="str">
        <f t="shared" si="16"/>
        <v>2022</v>
      </c>
      <c r="F378" s="1">
        <v>154</v>
      </c>
      <c r="G378" s="1">
        <v>74</v>
      </c>
      <c r="H378" s="1">
        <v>32</v>
      </c>
      <c r="I378" s="1">
        <v>193</v>
      </c>
      <c r="J378" s="1">
        <v>29.3</v>
      </c>
      <c r="K378" s="1">
        <v>0.83899999999999997</v>
      </c>
      <c r="L378" s="1">
        <v>39</v>
      </c>
      <c r="M378" s="1">
        <v>0</v>
      </c>
      <c r="N378" s="1" t="s">
        <v>46</v>
      </c>
      <c r="O378" s="1" t="str">
        <f t="shared" si="17"/>
        <v>Middle-Aged</v>
      </c>
    </row>
    <row r="379" spans="1:15" x14ac:dyDescent="0.3">
      <c r="A379" s="1">
        <v>5026</v>
      </c>
      <c r="B379" s="1" t="s">
        <v>8</v>
      </c>
      <c r="C379" s="2">
        <v>45003</v>
      </c>
      <c r="D379" s="2" t="str">
        <f t="shared" si="15"/>
        <v>Mar</v>
      </c>
      <c r="E379" s="2" t="str">
        <f t="shared" si="16"/>
        <v>2023</v>
      </c>
      <c r="F379" s="1">
        <v>117</v>
      </c>
      <c r="G379" s="1">
        <v>90</v>
      </c>
      <c r="H379" s="1">
        <v>19</v>
      </c>
      <c r="I379" s="1">
        <v>71</v>
      </c>
      <c r="J379" s="1">
        <v>25.2</v>
      </c>
      <c r="K379" s="1">
        <v>0.313</v>
      </c>
      <c r="L379" s="1">
        <v>21</v>
      </c>
      <c r="M379" s="1">
        <v>0</v>
      </c>
      <c r="N379" s="1" t="s">
        <v>46</v>
      </c>
      <c r="O379" s="1" t="str">
        <f t="shared" si="17"/>
        <v>Young</v>
      </c>
    </row>
    <row r="380" spans="1:15" x14ac:dyDescent="0.3">
      <c r="A380" s="1">
        <v>8009</v>
      </c>
      <c r="B380" s="1" t="s">
        <v>9</v>
      </c>
      <c r="C380" s="2">
        <v>44358</v>
      </c>
      <c r="D380" s="2" t="str">
        <f t="shared" si="15"/>
        <v>Jun</v>
      </c>
      <c r="E380" s="2" t="str">
        <f t="shared" si="16"/>
        <v>2021</v>
      </c>
      <c r="F380" s="1">
        <v>94</v>
      </c>
      <c r="G380" s="1">
        <v>64</v>
      </c>
      <c r="H380" s="1">
        <v>25</v>
      </c>
      <c r="I380" s="1">
        <v>79</v>
      </c>
      <c r="J380" s="1">
        <v>33.299999999999997</v>
      </c>
      <c r="K380" s="1">
        <v>0.73799999999999999</v>
      </c>
      <c r="L380" s="1">
        <v>41</v>
      </c>
      <c r="M380" s="1">
        <v>0</v>
      </c>
      <c r="N380" s="1" t="s">
        <v>46</v>
      </c>
      <c r="O380" s="1" t="str">
        <f t="shared" si="17"/>
        <v>Middle-Aged</v>
      </c>
    </row>
    <row r="381" spans="1:15" x14ac:dyDescent="0.3">
      <c r="A381" s="1">
        <v>3318</v>
      </c>
      <c r="B381" s="1" t="s">
        <v>8</v>
      </c>
      <c r="C381" s="2">
        <v>45329</v>
      </c>
      <c r="D381" s="2" t="str">
        <f t="shared" si="15"/>
        <v>Feb</v>
      </c>
      <c r="E381" s="2" t="str">
        <f t="shared" si="16"/>
        <v>2024</v>
      </c>
      <c r="F381" s="1">
        <v>75</v>
      </c>
      <c r="G381" s="1">
        <v>82</v>
      </c>
      <c r="H381" s="1">
        <v>8</v>
      </c>
      <c r="I381" s="1">
        <v>9</v>
      </c>
      <c r="J381" s="1">
        <v>33.299999999999997</v>
      </c>
      <c r="K381" s="1">
        <v>0.26300000000000001</v>
      </c>
      <c r="L381" s="1">
        <v>38</v>
      </c>
      <c r="M381" s="1">
        <v>0</v>
      </c>
      <c r="N381" s="1" t="s">
        <v>46</v>
      </c>
      <c r="O381" s="1" t="str">
        <f t="shared" si="17"/>
        <v>Middle-Aged</v>
      </c>
    </row>
    <row r="382" spans="1:15" x14ac:dyDescent="0.3">
      <c r="A382" s="1">
        <v>5022</v>
      </c>
      <c r="B382" s="1" t="s">
        <v>8</v>
      </c>
      <c r="C382" s="2">
        <v>45643</v>
      </c>
      <c r="D382" s="2" t="str">
        <f t="shared" si="15"/>
        <v>Dec</v>
      </c>
      <c r="E382" s="2" t="str">
        <f t="shared" si="16"/>
        <v>2024</v>
      </c>
      <c r="F382" s="1">
        <v>180</v>
      </c>
      <c r="G382" s="1">
        <v>90</v>
      </c>
      <c r="H382" s="1">
        <v>26</v>
      </c>
      <c r="I382" s="1">
        <v>90</v>
      </c>
      <c r="J382" s="1">
        <v>36.5</v>
      </c>
      <c r="K382" s="1">
        <v>0.314</v>
      </c>
      <c r="L382" s="1">
        <v>35</v>
      </c>
      <c r="M382" s="1">
        <v>1</v>
      </c>
      <c r="N382" s="1" t="s">
        <v>45</v>
      </c>
      <c r="O382" s="1" t="str">
        <f t="shared" si="17"/>
        <v>Young</v>
      </c>
    </row>
    <row r="383" spans="1:15" x14ac:dyDescent="0.3">
      <c r="A383" s="1">
        <v>4293</v>
      </c>
      <c r="B383" s="1" t="s">
        <v>9</v>
      </c>
      <c r="C383" s="2">
        <v>44851</v>
      </c>
      <c r="D383" s="2" t="str">
        <f t="shared" si="15"/>
        <v>Oct</v>
      </c>
      <c r="E383" s="2" t="str">
        <f t="shared" si="16"/>
        <v>2022</v>
      </c>
      <c r="F383" s="1">
        <v>130</v>
      </c>
      <c r="G383" s="1">
        <v>60</v>
      </c>
      <c r="H383" s="1">
        <v>23</v>
      </c>
      <c r="I383" s="1">
        <v>170</v>
      </c>
      <c r="J383" s="1">
        <v>28.6</v>
      </c>
      <c r="K383" s="1">
        <v>0.69199999999999995</v>
      </c>
      <c r="L383" s="1">
        <v>21</v>
      </c>
      <c r="M383" s="1">
        <v>0</v>
      </c>
      <c r="N383" s="1" t="s">
        <v>46</v>
      </c>
      <c r="O383" s="1" t="str">
        <f t="shared" si="17"/>
        <v>Young</v>
      </c>
    </row>
    <row r="384" spans="1:15" x14ac:dyDescent="0.3">
      <c r="A384" s="1">
        <v>7205</v>
      </c>
      <c r="B384" s="1" t="s">
        <v>8</v>
      </c>
      <c r="C384" s="2">
        <v>44913</v>
      </c>
      <c r="D384" s="2" t="str">
        <f t="shared" si="15"/>
        <v>Dec</v>
      </c>
      <c r="E384" s="2" t="str">
        <f t="shared" si="16"/>
        <v>2022</v>
      </c>
      <c r="F384" s="1">
        <v>84</v>
      </c>
      <c r="G384" s="1">
        <v>50</v>
      </c>
      <c r="H384" s="1">
        <v>23</v>
      </c>
      <c r="I384" s="1">
        <v>76</v>
      </c>
      <c r="J384" s="1">
        <v>30.4</v>
      </c>
      <c r="K384" s="1">
        <v>0.96799999999999997</v>
      </c>
      <c r="L384" s="1">
        <v>21</v>
      </c>
      <c r="M384" s="1">
        <v>0</v>
      </c>
      <c r="N384" s="1" t="s">
        <v>46</v>
      </c>
      <c r="O384" s="1" t="str">
        <f t="shared" si="17"/>
        <v>Young</v>
      </c>
    </row>
    <row r="385" spans="1:15" x14ac:dyDescent="0.3">
      <c r="A385" s="1">
        <v>8524</v>
      </c>
      <c r="B385" s="1" t="s">
        <v>8</v>
      </c>
      <c r="C385" s="2">
        <v>45316</v>
      </c>
      <c r="D385" s="2" t="str">
        <f t="shared" si="15"/>
        <v>Jan</v>
      </c>
      <c r="E385" s="2" t="str">
        <f t="shared" si="16"/>
        <v>2024</v>
      </c>
      <c r="F385" s="1">
        <v>120</v>
      </c>
      <c r="G385" s="1">
        <v>78</v>
      </c>
      <c r="H385" s="1">
        <v>8</v>
      </c>
      <c r="I385" s="1">
        <v>9</v>
      </c>
      <c r="J385" s="1">
        <v>25</v>
      </c>
      <c r="K385" s="1">
        <v>0.40899999999999997</v>
      </c>
      <c r="L385" s="1">
        <v>64</v>
      </c>
      <c r="M385" s="1">
        <v>0</v>
      </c>
      <c r="N385" s="1" t="s">
        <v>46</v>
      </c>
      <c r="O385" s="1" t="str">
        <f t="shared" si="17"/>
        <v>Old</v>
      </c>
    </row>
    <row r="386" spans="1:15" x14ac:dyDescent="0.3">
      <c r="A386" s="1">
        <v>1181</v>
      </c>
      <c r="B386" s="1" t="s">
        <v>8</v>
      </c>
      <c r="C386" s="2">
        <v>45373</v>
      </c>
      <c r="D386" s="2" t="str">
        <f t="shared" si="15"/>
        <v>Mar</v>
      </c>
      <c r="E386" s="2" t="str">
        <f t="shared" si="16"/>
        <v>2024</v>
      </c>
      <c r="F386" s="1">
        <v>139</v>
      </c>
      <c r="G386" s="1">
        <v>62</v>
      </c>
      <c r="H386" s="1">
        <v>17</v>
      </c>
      <c r="I386" s="1">
        <v>210</v>
      </c>
      <c r="J386" s="1">
        <v>22.1</v>
      </c>
      <c r="K386" s="1">
        <v>0.20699999999999999</v>
      </c>
      <c r="L386" s="1">
        <v>21</v>
      </c>
      <c r="M386" s="1">
        <v>0</v>
      </c>
      <c r="N386" s="1" t="s">
        <v>46</v>
      </c>
      <c r="O386" s="1" t="str">
        <f t="shared" si="17"/>
        <v>Young</v>
      </c>
    </row>
    <row r="387" spans="1:15" x14ac:dyDescent="0.3">
      <c r="A387" s="1">
        <v>5036</v>
      </c>
      <c r="B387" s="1" t="s">
        <v>9</v>
      </c>
      <c r="C387" s="2">
        <v>45479</v>
      </c>
      <c r="D387" s="2" t="str">
        <f t="shared" ref="D387:D450" si="18">TEXT(C387,"MMM")</f>
        <v>Jul</v>
      </c>
      <c r="E387" s="2" t="str">
        <f t="shared" ref="E387:E450" si="19">TEXT(C387,"YYY")</f>
        <v>2024</v>
      </c>
      <c r="F387" s="1">
        <v>91</v>
      </c>
      <c r="G387" s="1">
        <v>68</v>
      </c>
      <c r="H387" s="1">
        <v>8</v>
      </c>
      <c r="I387" s="1">
        <v>9</v>
      </c>
      <c r="J387" s="1">
        <v>24.2</v>
      </c>
      <c r="K387" s="1">
        <v>0.2</v>
      </c>
      <c r="L387" s="1">
        <v>58</v>
      </c>
      <c r="M387" s="1">
        <v>0</v>
      </c>
      <c r="N387" s="1" t="s">
        <v>46</v>
      </c>
      <c r="O387" s="1" t="str">
        <f t="shared" ref="O387:O450" si="20">IF(L387&lt;=35,"Young",IF(L387&lt;=50,"Middle-Aged",IF(L387&lt;=65,"Old","Very Old")))</f>
        <v>Old</v>
      </c>
    </row>
    <row r="388" spans="1:15" x14ac:dyDescent="0.3">
      <c r="A388" s="1">
        <v>4348</v>
      </c>
      <c r="B388" s="1" t="s">
        <v>8</v>
      </c>
      <c r="C388" s="2">
        <v>44636</v>
      </c>
      <c r="D388" s="2" t="str">
        <f t="shared" si="18"/>
        <v>Mar</v>
      </c>
      <c r="E388" s="2" t="str">
        <f t="shared" si="19"/>
        <v>2022</v>
      </c>
      <c r="F388" s="1">
        <v>91</v>
      </c>
      <c r="G388" s="1">
        <v>62</v>
      </c>
      <c r="H388" s="1">
        <v>8</v>
      </c>
      <c r="I388" s="1">
        <v>9</v>
      </c>
      <c r="J388" s="1">
        <v>27.3</v>
      </c>
      <c r="K388" s="1">
        <v>0.52500000000000002</v>
      </c>
      <c r="L388" s="1">
        <v>22</v>
      </c>
      <c r="M388" s="1">
        <v>0</v>
      </c>
      <c r="N388" s="1" t="s">
        <v>46</v>
      </c>
      <c r="O388" s="1" t="str">
        <f t="shared" si="20"/>
        <v>Young</v>
      </c>
    </row>
    <row r="389" spans="1:15" x14ac:dyDescent="0.3">
      <c r="A389" s="1">
        <v>7742</v>
      </c>
      <c r="B389" s="1" t="s">
        <v>9</v>
      </c>
      <c r="C389" s="2">
        <v>45134</v>
      </c>
      <c r="D389" s="2" t="str">
        <f t="shared" si="18"/>
        <v>Jul</v>
      </c>
      <c r="E389" s="2" t="str">
        <f t="shared" si="19"/>
        <v>2023</v>
      </c>
      <c r="F389" s="1">
        <v>99</v>
      </c>
      <c r="G389" s="1">
        <v>54</v>
      </c>
      <c r="H389" s="1">
        <v>19</v>
      </c>
      <c r="I389" s="1">
        <v>86</v>
      </c>
      <c r="J389" s="1">
        <v>25.6</v>
      </c>
      <c r="K389" s="1">
        <v>0.154</v>
      </c>
      <c r="L389" s="1">
        <v>24</v>
      </c>
      <c r="M389" s="1">
        <v>0</v>
      </c>
      <c r="N389" s="1" t="s">
        <v>46</v>
      </c>
      <c r="O389" s="1" t="str">
        <f t="shared" si="20"/>
        <v>Young</v>
      </c>
    </row>
    <row r="390" spans="1:15" x14ac:dyDescent="0.3">
      <c r="A390" s="1">
        <v>7894</v>
      </c>
      <c r="B390" s="1" t="s">
        <v>9</v>
      </c>
      <c r="C390" s="2">
        <v>45066</v>
      </c>
      <c r="D390" s="2" t="str">
        <f t="shared" si="18"/>
        <v>May</v>
      </c>
      <c r="E390" s="2" t="str">
        <f t="shared" si="19"/>
        <v>2023</v>
      </c>
      <c r="F390" s="1">
        <v>163</v>
      </c>
      <c r="G390" s="1">
        <v>70</v>
      </c>
      <c r="H390" s="1">
        <v>18</v>
      </c>
      <c r="I390" s="1">
        <v>105</v>
      </c>
      <c r="J390" s="1">
        <v>31.6</v>
      </c>
      <c r="K390" s="1">
        <v>0.26800000000000002</v>
      </c>
      <c r="L390" s="1">
        <v>28</v>
      </c>
      <c r="M390" s="1">
        <v>1</v>
      </c>
      <c r="N390" s="1" t="s">
        <v>45</v>
      </c>
      <c r="O390" s="1" t="str">
        <f t="shared" si="20"/>
        <v>Young</v>
      </c>
    </row>
    <row r="391" spans="1:15" x14ac:dyDescent="0.3">
      <c r="A391" s="1">
        <v>6390</v>
      </c>
      <c r="B391" s="1" t="s">
        <v>9</v>
      </c>
      <c r="C391" s="2">
        <v>45098</v>
      </c>
      <c r="D391" s="2" t="str">
        <f t="shared" si="18"/>
        <v>Jun</v>
      </c>
      <c r="E391" s="2" t="str">
        <f t="shared" si="19"/>
        <v>2023</v>
      </c>
      <c r="F391" s="1">
        <v>145</v>
      </c>
      <c r="G391" s="1">
        <v>88</v>
      </c>
      <c r="H391" s="1">
        <v>34</v>
      </c>
      <c r="I391" s="1">
        <v>165</v>
      </c>
      <c r="J391" s="1">
        <v>30.3</v>
      </c>
      <c r="K391" s="1">
        <v>0.77100000000000002</v>
      </c>
      <c r="L391" s="1">
        <v>53</v>
      </c>
      <c r="M391" s="1">
        <v>1</v>
      </c>
      <c r="N391" s="1" t="s">
        <v>45</v>
      </c>
      <c r="O391" s="1" t="str">
        <f t="shared" si="20"/>
        <v>Old</v>
      </c>
    </row>
    <row r="392" spans="1:15" x14ac:dyDescent="0.3">
      <c r="A392" s="1">
        <v>5038</v>
      </c>
      <c r="B392" s="1" t="s">
        <v>9</v>
      </c>
      <c r="C392" s="2">
        <v>44497</v>
      </c>
      <c r="D392" s="2" t="str">
        <f t="shared" si="18"/>
        <v>Oct</v>
      </c>
      <c r="E392" s="2" t="str">
        <f t="shared" si="19"/>
        <v>2021</v>
      </c>
      <c r="F392" s="1">
        <v>125</v>
      </c>
      <c r="G392" s="1">
        <v>86</v>
      </c>
      <c r="H392" s="1">
        <v>8</v>
      </c>
      <c r="I392" s="1">
        <v>9</v>
      </c>
      <c r="J392" s="1">
        <v>37.6</v>
      </c>
      <c r="K392" s="1">
        <v>0.30399999999999999</v>
      </c>
      <c r="L392" s="1">
        <v>51</v>
      </c>
      <c r="M392" s="1">
        <v>0</v>
      </c>
      <c r="N392" s="1" t="s">
        <v>46</v>
      </c>
      <c r="O392" s="1" t="str">
        <f t="shared" si="20"/>
        <v>Old</v>
      </c>
    </row>
    <row r="393" spans="1:15" x14ac:dyDescent="0.3">
      <c r="A393" s="1">
        <v>5392</v>
      </c>
      <c r="B393" s="1" t="s">
        <v>9</v>
      </c>
      <c r="C393" s="2">
        <v>45499</v>
      </c>
      <c r="D393" s="2" t="str">
        <f t="shared" si="18"/>
        <v>Jul</v>
      </c>
      <c r="E393" s="2" t="str">
        <f t="shared" si="19"/>
        <v>2024</v>
      </c>
      <c r="F393" s="1">
        <v>76</v>
      </c>
      <c r="G393" s="1">
        <v>60</v>
      </c>
      <c r="H393" s="1">
        <v>8</v>
      </c>
      <c r="I393" s="1">
        <v>9</v>
      </c>
      <c r="J393" s="1">
        <v>32.799999999999997</v>
      </c>
      <c r="K393" s="1">
        <v>0.18</v>
      </c>
      <c r="L393" s="1">
        <v>41</v>
      </c>
      <c r="M393" s="1">
        <v>0</v>
      </c>
      <c r="N393" s="1" t="s">
        <v>46</v>
      </c>
      <c r="O393" s="1" t="str">
        <f t="shared" si="20"/>
        <v>Middle-Aged</v>
      </c>
    </row>
    <row r="394" spans="1:15" x14ac:dyDescent="0.3">
      <c r="A394" s="1">
        <v>5869</v>
      </c>
      <c r="B394" s="1" t="s">
        <v>8</v>
      </c>
      <c r="C394" s="2">
        <v>44990</v>
      </c>
      <c r="D394" s="2" t="str">
        <f t="shared" si="18"/>
        <v>Mar</v>
      </c>
      <c r="E394" s="2" t="str">
        <f t="shared" si="19"/>
        <v>2023</v>
      </c>
      <c r="F394" s="1">
        <v>129</v>
      </c>
      <c r="G394" s="1">
        <v>90</v>
      </c>
      <c r="H394" s="1">
        <v>7</v>
      </c>
      <c r="I394" s="1">
        <v>326</v>
      </c>
      <c r="J394" s="1">
        <v>19.600000000000001</v>
      </c>
      <c r="K394" s="1">
        <v>0.58199999999999996</v>
      </c>
      <c r="L394" s="1">
        <v>60</v>
      </c>
      <c r="M394" s="1">
        <v>0</v>
      </c>
      <c r="N394" s="1" t="s">
        <v>46</v>
      </c>
      <c r="O394" s="1" t="str">
        <f t="shared" si="20"/>
        <v>Old</v>
      </c>
    </row>
    <row r="395" spans="1:15" x14ac:dyDescent="0.3">
      <c r="A395" s="1">
        <v>5076</v>
      </c>
      <c r="B395" s="1" t="s">
        <v>8</v>
      </c>
      <c r="C395" s="2">
        <v>45451</v>
      </c>
      <c r="D395" s="2" t="str">
        <f t="shared" si="18"/>
        <v>Jun</v>
      </c>
      <c r="E395" s="2" t="str">
        <f t="shared" si="19"/>
        <v>2024</v>
      </c>
      <c r="F395" s="1">
        <v>68</v>
      </c>
      <c r="G395" s="1">
        <v>70</v>
      </c>
      <c r="H395" s="1">
        <v>32</v>
      </c>
      <c r="I395" s="1">
        <v>66</v>
      </c>
      <c r="J395" s="1">
        <v>25</v>
      </c>
      <c r="K395" s="1">
        <v>0.187</v>
      </c>
      <c r="L395" s="1">
        <v>25</v>
      </c>
      <c r="M395" s="1">
        <v>0</v>
      </c>
      <c r="N395" s="1" t="s">
        <v>46</v>
      </c>
      <c r="O395" s="1" t="str">
        <f t="shared" si="20"/>
        <v>Young</v>
      </c>
    </row>
    <row r="396" spans="1:15" x14ac:dyDescent="0.3">
      <c r="A396" s="1">
        <v>5281</v>
      </c>
      <c r="B396" s="1" t="s">
        <v>9</v>
      </c>
      <c r="C396" s="2">
        <v>45274</v>
      </c>
      <c r="D396" s="2" t="str">
        <f t="shared" si="18"/>
        <v>Dec</v>
      </c>
      <c r="E396" s="2" t="str">
        <f t="shared" si="19"/>
        <v>2023</v>
      </c>
      <c r="F396" s="1">
        <v>124</v>
      </c>
      <c r="G396" s="1">
        <v>80</v>
      </c>
      <c r="H396" s="1">
        <v>33</v>
      </c>
      <c r="I396" s="1">
        <v>130</v>
      </c>
      <c r="J396" s="1">
        <v>33.200000000000003</v>
      </c>
      <c r="K396" s="1">
        <v>0.30499999999999999</v>
      </c>
      <c r="L396" s="1">
        <v>26</v>
      </c>
      <c r="M396" s="1">
        <v>0</v>
      </c>
      <c r="N396" s="1" t="s">
        <v>46</v>
      </c>
      <c r="O396" s="1" t="str">
        <f t="shared" si="20"/>
        <v>Young</v>
      </c>
    </row>
    <row r="397" spans="1:15" x14ac:dyDescent="0.3">
      <c r="A397" s="1">
        <v>7271</v>
      </c>
      <c r="B397" s="1" t="s">
        <v>9</v>
      </c>
      <c r="C397" s="2">
        <v>44772</v>
      </c>
      <c r="D397" s="2" t="str">
        <f t="shared" si="18"/>
        <v>Jul</v>
      </c>
      <c r="E397" s="2" t="str">
        <f t="shared" si="19"/>
        <v>2022</v>
      </c>
      <c r="F397" s="1">
        <v>130</v>
      </c>
      <c r="G397" s="1">
        <v>70</v>
      </c>
      <c r="H397" s="1">
        <v>11</v>
      </c>
      <c r="I397" s="1">
        <v>9</v>
      </c>
      <c r="J397" s="1">
        <v>34.200000000000003</v>
      </c>
      <c r="K397" s="1">
        <v>0.65200000000000002</v>
      </c>
      <c r="L397" s="1">
        <v>45</v>
      </c>
      <c r="M397" s="1">
        <v>1</v>
      </c>
      <c r="N397" s="1" t="s">
        <v>45</v>
      </c>
      <c r="O397" s="1" t="str">
        <f t="shared" si="20"/>
        <v>Middle-Aged</v>
      </c>
    </row>
    <row r="398" spans="1:15" x14ac:dyDescent="0.3">
      <c r="A398" s="1">
        <v>5170</v>
      </c>
      <c r="B398" s="1" t="s">
        <v>9</v>
      </c>
      <c r="C398" s="2">
        <v>45389</v>
      </c>
      <c r="D398" s="2" t="str">
        <f t="shared" si="18"/>
        <v>Apr</v>
      </c>
      <c r="E398" s="2" t="str">
        <f t="shared" si="19"/>
        <v>2024</v>
      </c>
      <c r="F398" s="1">
        <v>125</v>
      </c>
      <c r="G398" s="1">
        <v>58</v>
      </c>
      <c r="H398" s="1">
        <v>11</v>
      </c>
      <c r="I398" s="1">
        <v>9</v>
      </c>
      <c r="J398" s="1">
        <v>31.6</v>
      </c>
      <c r="K398" s="1">
        <v>0.151</v>
      </c>
      <c r="L398" s="1">
        <v>24</v>
      </c>
      <c r="M398" s="1">
        <v>0</v>
      </c>
      <c r="N398" s="1" t="s">
        <v>46</v>
      </c>
      <c r="O398" s="1" t="str">
        <f t="shared" si="20"/>
        <v>Young</v>
      </c>
    </row>
    <row r="399" spans="1:15" x14ac:dyDescent="0.3">
      <c r="A399" s="1">
        <v>2609</v>
      </c>
      <c r="B399" s="1" t="s">
        <v>9</v>
      </c>
      <c r="C399" s="2">
        <v>45440</v>
      </c>
      <c r="D399" s="2" t="str">
        <f t="shared" si="18"/>
        <v>May</v>
      </c>
      <c r="E399" s="2" t="str">
        <f t="shared" si="19"/>
        <v>2024</v>
      </c>
      <c r="F399" s="1">
        <v>97</v>
      </c>
      <c r="G399" s="1">
        <v>64</v>
      </c>
      <c r="H399" s="1">
        <v>19</v>
      </c>
      <c r="I399" s="1">
        <v>82</v>
      </c>
      <c r="J399" s="1">
        <v>18.2</v>
      </c>
      <c r="K399" s="1">
        <v>0.29899999999999999</v>
      </c>
      <c r="L399" s="1">
        <v>21</v>
      </c>
      <c r="M399" s="1">
        <v>0</v>
      </c>
      <c r="N399" s="1" t="s">
        <v>46</v>
      </c>
      <c r="O399" s="1" t="str">
        <f t="shared" si="20"/>
        <v>Young</v>
      </c>
    </row>
    <row r="400" spans="1:15" x14ac:dyDescent="0.3">
      <c r="A400" s="1">
        <v>9041</v>
      </c>
      <c r="B400" s="1" t="s">
        <v>9</v>
      </c>
      <c r="C400" s="2">
        <v>44572</v>
      </c>
      <c r="D400" s="2" t="str">
        <f t="shared" si="18"/>
        <v>Jan</v>
      </c>
      <c r="E400" s="2" t="str">
        <f t="shared" si="19"/>
        <v>2022</v>
      </c>
      <c r="F400" s="1">
        <v>116</v>
      </c>
      <c r="G400" s="1">
        <v>74</v>
      </c>
      <c r="H400" s="1">
        <v>15</v>
      </c>
      <c r="I400" s="1">
        <v>105</v>
      </c>
      <c r="J400" s="1">
        <v>26.3</v>
      </c>
      <c r="K400" s="1">
        <v>0.107</v>
      </c>
      <c r="L400" s="1">
        <v>24</v>
      </c>
      <c r="M400" s="1">
        <v>0</v>
      </c>
      <c r="N400" s="1" t="s">
        <v>46</v>
      </c>
      <c r="O400" s="1" t="str">
        <f t="shared" si="20"/>
        <v>Young</v>
      </c>
    </row>
    <row r="401" spans="1:15" x14ac:dyDescent="0.3">
      <c r="A401" s="1">
        <v>5295</v>
      </c>
      <c r="B401" s="1" t="s">
        <v>8</v>
      </c>
      <c r="C401" s="2">
        <v>44877</v>
      </c>
      <c r="D401" s="2" t="str">
        <f t="shared" si="18"/>
        <v>Nov</v>
      </c>
      <c r="E401" s="2" t="str">
        <f t="shared" si="19"/>
        <v>2022</v>
      </c>
      <c r="F401" s="1">
        <v>117</v>
      </c>
      <c r="G401" s="1">
        <v>66</v>
      </c>
      <c r="H401" s="1">
        <v>31</v>
      </c>
      <c r="I401" s="1">
        <v>188</v>
      </c>
      <c r="J401" s="1">
        <v>30.8</v>
      </c>
      <c r="K401" s="1">
        <v>0.49299999999999999</v>
      </c>
      <c r="L401" s="1">
        <v>22</v>
      </c>
      <c r="M401" s="1">
        <v>0</v>
      </c>
      <c r="N401" s="1" t="s">
        <v>46</v>
      </c>
      <c r="O401" s="1" t="str">
        <f t="shared" si="20"/>
        <v>Young</v>
      </c>
    </row>
    <row r="402" spans="1:15" x14ac:dyDescent="0.3">
      <c r="A402" s="1">
        <v>8173</v>
      </c>
      <c r="B402" s="1" t="s">
        <v>8</v>
      </c>
      <c r="C402" s="2">
        <v>45627</v>
      </c>
      <c r="D402" s="2" t="str">
        <f t="shared" si="18"/>
        <v>Dec</v>
      </c>
      <c r="E402" s="2" t="str">
        <f t="shared" si="19"/>
        <v>2024</v>
      </c>
      <c r="F402" s="1">
        <v>111</v>
      </c>
      <c r="G402" s="1">
        <v>65</v>
      </c>
      <c r="H402" s="1">
        <v>11</v>
      </c>
      <c r="I402" s="1">
        <v>9</v>
      </c>
      <c r="J402" s="1">
        <v>24.6</v>
      </c>
      <c r="K402" s="1">
        <v>0.66</v>
      </c>
      <c r="L402" s="1">
        <v>31</v>
      </c>
      <c r="M402" s="1">
        <v>0</v>
      </c>
      <c r="N402" s="1" t="s">
        <v>46</v>
      </c>
      <c r="O402" s="1" t="str">
        <f t="shared" si="20"/>
        <v>Young</v>
      </c>
    </row>
    <row r="403" spans="1:15" x14ac:dyDescent="0.3">
      <c r="A403" s="1">
        <v>6377</v>
      </c>
      <c r="B403" s="1" t="s">
        <v>8</v>
      </c>
      <c r="C403" s="2">
        <v>45165</v>
      </c>
      <c r="D403" s="2" t="str">
        <f t="shared" si="18"/>
        <v>Aug</v>
      </c>
      <c r="E403" s="2" t="str">
        <f t="shared" si="19"/>
        <v>2023</v>
      </c>
      <c r="F403" s="1">
        <v>122</v>
      </c>
      <c r="G403" s="1">
        <v>60</v>
      </c>
      <c r="H403" s="1">
        <v>18</v>
      </c>
      <c r="I403" s="1">
        <v>106</v>
      </c>
      <c r="J403" s="1">
        <v>29.8</v>
      </c>
      <c r="K403" s="1">
        <v>0.71699999999999997</v>
      </c>
      <c r="L403" s="1">
        <v>22</v>
      </c>
      <c r="M403" s="1">
        <v>0</v>
      </c>
      <c r="N403" s="1" t="s">
        <v>46</v>
      </c>
      <c r="O403" s="1" t="str">
        <f t="shared" si="20"/>
        <v>Young</v>
      </c>
    </row>
    <row r="404" spans="1:15" x14ac:dyDescent="0.3">
      <c r="A404" s="1">
        <v>2875</v>
      </c>
      <c r="B404" s="1" t="s">
        <v>8</v>
      </c>
      <c r="C404" s="2">
        <v>45541</v>
      </c>
      <c r="D404" s="2" t="str">
        <f t="shared" si="18"/>
        <v>Sep</v>
      </c>
      <c r="E404" s="2" t="str">
        <f t="shared" si="19"/>
        <v>2024</v>
      </c>
      <c r="F404" s="1">
        <v>107</v>
      </c>
      <c r="G404" s="1">
        <v>76</v>
      </c>
      <c r="H404" s="1">
        <v>11</v>
      </c>
      <c r="I404" s="1">
        <v>9</v>
      </c>
      <c r="J404" s="1">
        <v>45.3</v>
      </c>
      <c r="K404" s="1">
        <v>0.68600000000000005</v>
      </c>
      <c r="L404" s="1">
        <v>24</v>
      </c>
      <c r="M404" s="1">
        <v>0</v>
      </c>
      <c r="N404" s="1" t="s">
        <v>46</v>
      </c>
      <c r="O404" s="1" t="str">
        <f t="shared" si="20"/>
        <v>Young</v>
      </c>
    </row>
    <row r="405" spans="1:15" x14ac:dyDescent="0.3">
      <c r="A405" s="1">
        <v>1035</v>
      </c>
      <c r="B405" s="1" t="s">
        <v>9</v>
      </c>
      <c r="C405" s="2">
        <v>44760</v>
      </c>
      <c r="D405" s="2" t="str">
        <f t="shared" si="18"/>
        <v>Jul</v>
      </c>
      <c r="E405" s="2" t="str">
        <f t="shared" si="19"/>
        <v>2022</v>
      </c>
      <c r="F405" s="1">
        <v>86</v>
      </c>
      <c r="G405" s="1">
        <v>66</v>
      </c>
      <c r="H405" s="1">
        <v>52</v>
      </c>
      <c r="I405" s="1">
        <v>65</v>
      </c>
      <c r="J405" s="1">
        <v>41.3</v>
      </c>
      <c r="K405" s="1">
        <v>0.91700000000000004</v>
      </c>
      <c r="L405" s="1">
        <v>29</v>
      </c>
      <c r="M405" s="1">
        <v>0</v>
      </c>
      <c r="N405" s="1" t="s">
        <v>46</v>
      </c>
      <c r="O405" s="1" t="str">
        <f t="shared" si="20"/>
        <v>Young</v>
      </c>
    </row>
    <row r="406" spans="1:15" x14ac:dyDescent="0.3">
      <c r="A406" s="1">
        <v>5425</v>
      </c>
      <c r="B406" s="1" t="s">
        <v>9</v>
      </c>
      <c r="C406" s="2">
        <v>45601</v>
      </c>
      <c r="D406" s="2" t="str">
        <f t="shared" si="18"/>
        <v>Nov</v>
      </c>
      <c r="E406" s="2" t="str">
        <f t="shared" si="19"/>
        <v>2024</v>
      </c>
      <c r="F406" s="1">
        <v>77</v>
      </c>
      <c r="G406" s="1">
        <v>56</v>
      </c>
      <c r="H406" s="1">
        <v>30</v>
      </c>
      <c r="I406" s="1">
        <v>56</v>
      </c>
      <c r="J406" s="1">
        <v>33.299999999999997</v>
      </c>
      <c r="K406" s="1">
        <v>1.2509999999999999</v>
      </c>
      <c r="L406" s="1">
        <v>24</v>
      </c>
      <c r="M406" s="1">
        <v>0</v>
      </c>
      <c r="N406" s="1" t="s">
        <v>46</v>
      </c>
      <c r="O406" s="1" t="str">
        <f t="shared" si="20"/>
        <v>Young</v>
      </c>
    </row>
    <row r="407" spans="1:15" x14ac:dyDescent="0.3">
      <c r="A407" s="1">
        <v>4457</v>
      </c>
      <c r="B407" s="1" t="s">
        <v>8</v>
      </c>
      <c r="C407" s="2">
        <v>45511</v>
      </c>
      <c r="D407" s="2" t="str">
        <f t="shared" si="18"/>
        <v>Aug</v>
      </c>
      <c r="E407" s="2" t="str">
        <f t="shared" si="19"/>
        <v>2024</v>
      </c>
      <c r="F407" s="1">
        <v>105</v>
      </c>
      <c r="G407" s="1">
        <v>90</v>
      </c>
      <c r="H407" s="1">
        <v>11</v>
      </c>
      <c r="I407" s="1">
        <v>9</v>
      </c>
      <c r="J407" s="1">
        <v>29.6</v>
      </c>
      <c r="K407" s="1">
        <v>0.19700000000000001</v>
      </c>
      <c r="L407" s="1">
        <v>46</v>
      </c>
      <c r="M407" s="1">
        <v>0</v>
      </c>
      <c r="N407" s="1" t="s">
        <v>46</v>
      </c>
      <c r="O407" s="1" t="str">
        <f t="shared" si="20"/>
        <v>Middle-Aged</v>
      </c>
    </row>
    <row r="408" spans="1:15" x14ac:dyDescent="0.3">
      <c r="A408" s="1">
        <v>1308</v>
      </c>
      <c r="B408" s="1" t="s">
        <v>8</v>
      </c>
      <c r="C408" s="2">
        <v>44299</v>
      </c>
      <c r="D408" s="2" t="str">
        <f t="shared" si="18"/>
        <v>Apr</v>
      </c>
      <c r="E408" s="2" t="str">
        <f t="shared" si="19"/>
        <v>2021</v>
      </c>
      <c r="F408" s="1">
        <v>57</v>
      </c>
      <c r="G408" s="1">
        <v>60</v>
      </c>
      <c r="H408" s="1">
        <v>11</v>
      </c>
      <c r="I408" s="1">
        <v>9</v>
      </c>
      <c r="J408" s="1">
        <v>21.7</v>
      </c>
      <c r="K408" s="1">
        <v>0.73499999999999999</v>
      </c>
      <c r="L408" s="1">
        <v>67</v>
      </c>
      <c r="M408" s="1">
        <v>0</v>
      </c>
      <c r="N408" s="1" t="s">
        <v>46</v>
      </c>
      <c r="O408" s="1" t="str">
        <f t="shared" si="20"/>
        <v>Very Old</v>
      </c>
    </row>
    <row r="409" spans="1:15" x14ac:dyDescent="0.3">
      <c r="A409" s="1">
        <v>2655</v>
      </c>
      <c r="B409" s="1" t="s">
        <v>8</v>
      </c>
      <c r="C409" s="2">
        <v>44417</v>
      </c>
      <c r="D409" s="2" t="str">
        <f t="shared" si="18"/>
        <v>Aug</v>
      </c>
      <c r="E409" s="2" t="str">
        <f t="shared" si="19"/>
        <v>2021</v>
      </c>
      <c r="F409" s="1">
        <v>127</v>
      </c>
      <c r="G409" s="1">
        <v>80</v>
      </c>
      <c r="H409" s="1">
        <v>37</v>
      </c>
      <c r="I409" s="1">
        <v>210</v>
      </c>
      <c r="J409" s="1">
        <v>36.299999999999997</v>
      </c>
      <c r="K409" s="1">
        <v>0.80400000000000005</v>
      </c>
      <c r="L409" s="1">
        <v>23</v>
      </c>
      <c r="M409" s="1">
        <v>0</v>
      </c>
      <c r="N409" s="1" t="s">
        <v>46</v>
      </c>
      <c r="O409" s="1" t="str">
        <f t="shared" si="20"/>
        <v>Young</v>
      </c>
    </row>
    <row r="410" spans="1:15" x14ac:dyDescent="0.3">
      <c r="A410" s="1">
        <v>4097</v>
      </c>
      <c r="B410" s="1" t="s">
        <v>9</v>
      </c>
      <c r="C410" s="2">
        <v>44754</v>
      </c>
      <c r="D410" s="2" t="str">
        <f t="shared" si="18"/>
        <v>Jul</v>
      </c>
      <c r="E410" s="2" t="str">
        <f t="shared" si="19"/>
        <v>2022</v>
      </c>
      <c r="F410" s="1">
        <v>129</v>
      </c>
      <c r="G410" s="1">
        <v>92</v>
      </c>
      <c r="H410" s="1">
        <v>49</v>
      </c>
      <c r="I410" s="1">
        <v>155</v>
      </c>
      <c r="J410" s="1">
        <v>36.4</v>
      </c>
      <c r="K410" s="1">
        <v>0.96799999999999997</v>
      </c>
      <c r="L410" s="1">
        <v>32</v>
      </c>
      <c r="M410" s="1">
        <v>1</v>
      </c>
      <c r="N410" s="1" t="s">
        <v>45</v>
      </c>
      <c r="O410" s="1" t="str">
        <f t="shared" si="20"/>
        <v>Young</v>
      </c>
    </row>
    <row r="411" spans="1:15" x14ac:dyDescent="0.3">
      <c r="A411" s="1">
        <v>8244</v>
      </c>
      <c r="B411" s="1" t="s">
        <v>8</v>
      </c>
      <c r="C411" s="2">
        <v>44310</v>
      </c>
      <c r="D411" s="2" t="str">
        <f t="shared" si="18"/>
        <v>Apr</v>
      </c>
      <c r="E411" s="2" t="str">
        <f t="shared" si="19"/>
        <v>2021</v>
      </c>
      <c r="F411" s="1">
        <v>100</v>
      </c>
      <c r="G411" s="1">
        <v>74</v>
      </c>
      <c r="H411" s="1">
        <v>40</v>
      </c>
      <c r="I411" s="1">
        <v>215</v>
      </c>
      <c r="J411" s="1">
        <v>39.4</v>
      </c>
      <c r="K411" s="1">
        <v>0.66100000000000003</v>
      </c>
      <c r="L411" s="1">
        <v>43</v>
      </c>
      <c r="M411" s="1">
        <v>1</v>
      </c>
      <c r="N411" s="1" t="s">
        <v>45</v>
      </c>
      <c r="O411" s="1" t="str">
        <f t="shared" si="20"/>
        <v>Middle-Aged</v>
      </c>
    </row>
    <row r="412" spans="1:15" x14ac:dyDescent="0.3">
      <c r="A412" s="1">
        <v>4969</v>
      </c>
      <c r="B412" s="1" t="s">
        <v>9</v>
      </c>
      <c r="C412" s="2">
        <v>45586</v>
      </c>
      <c r="D412" s="2" t="str">
        <f t="shared" si="18"/>
        <v>Oct</v>
      </c>
      <c r="E412" s="2" t="str">
        <f t="shared" si="19"/>
        <v>2024</v>
      </c>
      <c r="F412" s="1">
        <v>128</v>
      </c>
      <c r="G412" s="1">
        <v>72</v>
      </c>
      <c r="H412" s="1">
        <v>25</v>
      </c>
      <c r="I412" s="1">
        <v>190</v>
      </c>
      <c r="J412" s="1">
        <v>32.4</v>
      </c>
      <c r="K412" s="1">
        <v>0.54900000000000004</v>
      </c>
      <c r="L412" s="1">
        <v>27</v>
      </c>
      <c r="M412" s="1">
        <v>1</v>
      </c>
      <c r="N412" s="1" t="s">
        <v>45</v>
      </c>
      <c r="O412" s="1" t="str">
        <f t="shared" si="20"/>
        <v>Young</v>
      </c>
    </row>
    <row r="413" spans="1:15" x14ac:dyDescent="0.3">
      <c r="A413" s="1">
        <v>9626</v>
      </c>
      <c r="B413" s="1" t="s">
        <v>8</v>
      </c>
      <c r="C413" s="2">
        <v>44522</v>
      </c>
      <c r="D413" s="2" t="str">
        <f t="shared" si="18"/>
        <v>Nov</v>
      </c>
      <c r="E413" s="2" t="str">
        <f t="shared" si="19"/>
        <v>2021</v>
      </c>
      <c r="F413" s="1">
        <v>84</v>
      </c>
      <c r="G413" s="1">
        <v>90</v>
      </c>
      <c r="H413" s="1">
        <v>23</v>
      </c>
      <c r="I413" s="1">
        <v>56</v>
      </c>
      <c r="J413" s="1">
        <v>39.5</v>
      </c>
      <c r="K413" s="1">
        <v>0.159</v>
      </c>
      <c r="L413" s="1">
        <v>25</v>
      </c>
      <c r="M413" s="1">
        <v>0</v>
      </c>
      <c r="N413" s="1" t="s">
        <v>46</v>
      </c>
      <c r="O413" s="1" t="str">
        <f t="shared" si="20"/>
        <v>Young</v>
      </c>
    </row>
    <row r="414" spans="1:15" x14ac:dyDescent="0.3">
      <c r="A414" s="1">
        <v>7246</v>
      </c>
      <c r="B414" s="1" t="s">
        <v>9</v>
      </c>
      <c r="C414" s="2">
        <v>45475</v>
      </c>
      <c r="D414" s="2" t="str">
        <f t="shared" si="18"/>
        <v>Jul</v>
      </c>
      <c r="E414" s="2" t="str">
        <f t="shared" si="19"/>
        <v>2024</v>
      </c>
      <c r="F414" s="1">
        <v>88</v>
      </c>
      <c r="G414" s="1">
        <v>78</v>
      </c>
      <c r="H414" s="1">
        <v>29</v>
      </c>
      <c r="I414" s="1">
        <v>76</v>
      </c>
      <c r="J414" s="1">
        <v>32</v>
      </c>
      <c r="K414" s="1">
        <v>0.36499999999999999</v>
      </c>
      <c r="L414" s="1">
        <v>29</v>
      </c>
      <c r="M414" s="1">
        <v>0</v>
      </c>
      <c r="N414" s="1" t="s">
        <v>46</v>
      </c>
      <c r="O414" s="1" t="str">
        <f t="shared" si="20"/>
        <v>Young</v>
      </c>
    </row>
    <row r="415" spans="1:15" x14ac:dyDescent="0.3">
      <c r="A415" s="1">
        <v>7876</v>
      </c>
      <c r="B415" s="1" t="s">
        <v>8</v>
      </c>
      <c r="C415" s="2">
        <v>45192</v>
      </c>
      <c r="D415" s="2" t="str">
        <f t="shared" si="18"/>
        <v>Sep</v>
      </c>
      <c r="E415" s="2" t="str">
        <f t="shared" si="19"/>
        <v>2023</v>
      </c>
      <c r="F415" s="1">
        <v>186</v>
      </c>
      <c r="G415" s="1">
        <v>90</v>
      </c>
      <c r="H415" s="1">
        <v>35</v>
      </c>
      <c r="I415" s="1">
        <v>225</v>
      </c>
      <c r="J415" s="1">
        <v>34.5</v>
      </c>
      <c r="K415" s="1">
        <v>0.42299999999999999</v>
      </c>
      <c r="L415" s="1">
        <v>37</v>
      </c>
      <c r="M415" s="1">
        <v>1</v>
      </c>
      <c r="N415" s="1" t="s">
        <v>45</v>
      </c>
      <c r="O415" s="1" t="str">
        <f t="shared" si="20"/>
        <v>Middle-Aged</v>
      </c>
    </row>
    <row r="416" spans="1:15" x14ac:dyDescent="0.3">
      <c r="A416" s="1">
        <v>9479</v>
      </c>
      <c r="B416" s="1" t="s">
        <v>9</v>
      </c>
      <c r="C416" s="2">
        <v>44293</v>
      </c>
      <c r="D416" s="2" t="str">
        <f t="shared" si="18"/>
        <v>Apr</v>
      </c>
      <c r="E416" s="2" t="str">
        <f t="shared" si="19"/>
        <v>2021</v>
      </c>
      <c r="F416" s="1">
        <v>187</v>
      </c>
      <c r="G416" s="1">
        <v>76</v>
      </c>
      <c r="H416" s="1">
        <v>27</v>
      </c>
      <c r="I416" s="1">
        <v>207</v>
      </c>
      <c r="J416" s="1">
        <v>43.6</v>
      </c>
      <c r="K416" s="1">
        <v>1.034</v>
      </c>
      <c r="L416" s="1">
        <v>53</v>
      </c>
      <c r="M416" s="1">
        <v>1</v>
      </c>
      <c r="N416" s="1" t="s">
        <v>45</v>
      </c>
      <c r="O416" s="1" t="str">
        <f t="shared" si="20"/>
        <v>Old</v>
      </c>
    </row>
    <row r="417" spans="1:15" x14ac:dyDescent="0.3">
      <c r="A417" s="1">
        <v>7828</v>
      </c>
      <c r="B417" s="1" t="s">
        <v>8</v>
      </c>
      <c r="C417" s="2">
        <v>44329</v>
      </c>
      <c r="D417" s="2" t="str">
        <f t="shared" si="18"/>
        <v>May</v>
      </c>
      <c r="E417" s="2" t="str">
        <f t="shared" si="19"/>
        <v>2021</v>
      </c>
      <c r="F417" s="1">
        <v>131</v>
      </c>
      <c r="G417" s="1">
        <v>68</v>
      </c>
      <c r="H417" s="1">
        <v>21</v>
      </c>
      <c r="I417" s="1">
        <v>166</v>
      </c>
      <c r="J417" s="1">
        <v>33.1</v>
      </c>
      <c r="K417" s="1">
        <v>0.16</v>
      </c>
      <c r="L417" s="1">
        <v>28</v>
      </c>
      <c r="M417" s="1">
        <v>0</v>
      </c>
      <c r="N417" s="1" t="s">
        <v>46</v>
      </c>
      <c r="O417" s="1" t="str">
        <f t="shared" si="20"/>
        <v>Young</v>
      </c>
    </row>
    <row r="418" spans="1:15" x14ac:dyDescent="0.3">
      <c r="A418" s="1">
        <v>4915</v>
      </c>
      <c r="B418" s="1" t="s">
        <v>9</v>
      </c>
      <c r="C418" s="2">
        <v>44497</v>
      </c>
      <c r="D418" s="2" t="str">
        <f t="shared" si="18"/>
        <v>Oct</v>
      </c>
      <c r="E418" s="2" t="str">
        <f t="shared" si="19"/>
        <v>2021</v>
      </c>
      <c r="F418" s="1">
        <v>164</v>
      </c>
      <c r="G418" s="1">
        <v>82</v>
      </c>
      <c r="H418" s="1">
        <v>43</v>
      </c>
      <c r="I418" s="1">
        <v>67</v>
      </c>
      <c r="J418" s="1">
        <v>32.799999999999997</v>
      </c>
      <c r="K418" s="1">
        <v>0.34100000000000003</v>
      </c>
      <c r="L418" s="1">
        <v>50</v>
      </c>
      <c r="M418" s="1">
        <v>0</v>
      </c>
      <c r="N418" s="1" t="s">
        <v>46</v>
      </c>
      <c r="O418" s="1" t="str">
        <f t="shared" si="20"/>
        <v>Middle-Aged</v>
      </c>
    </row>
    <row r="419" spans="1:15" x14ac:dyDescent="0.3">
      <c r="A419" s="1">
        <v>9644</v>
      </c>
      <c r="B419" s="1" t="s">
        <v>9</v>
      </c>
      <c r="C419" s="2">
        <v>44737</v>
      </c>
      <c r="D419" s="2" t="str">
        <f t="shared" si="18"/>
        <v>Jun</v>
      </c>
      <c r="E419" s="2" t="str">
        <f t="shared" si="19"/>
        <v>2022</v>
      </c>
      <c r="F419" s="1">
        <v>84</v>
      </c>
      <c r="G419" s="1">
        <v>68</v>
      </c>
      <c r="H419" s="1">
        <v>30</v>
      </c>
      <c r="I419" s="1">
        <v>106</v>
      </c>
      <c r="J419" s="1">
        <v>31.9</v>
      </c>
      <c r="K419" s="1">
        <v>0.59099999999999997</v>
      </c>
      <c r="L419" s="1">
        <v>25</v>
      </c>
      <c r="M419" s="1">
        <v>0</v>
      </c>
      <c r="N419" s="1" t="s">
        <v>46</v>
      </c>
      <c r="O419" s="1" t="str">
        <f t="shared" si="20"/>
        <v>Young</v>
      </c>
    </row>
    <row r="420" spans="1:15" x14ac:dyDescent="0.3">
      <c r="A420" s="1">
        <v>1753</v>
      </c>
      <c r="B420" s="1" t="s">
        <v>8</v>
      </c>
      <c r="C420" s="2">
        <v>45082</v>
      </c>
      <c r="D420" s="2" t="str">
        <f t="shared" si="18"/>
        <v>Jun</v>
      </c>
      <c r="E420" s="2" t="str">
        <f t="shared" si="19"/>
        <v>2023</v>
      </c>
      <c r="F420" s="1">
        <v>114</v>
      </c>
      <c r="G420" s="1">
        <v>88</v>
      </c>
      <c r="H420" s="1">
        <v>11</v>
      </c>
      <c r="I420" s="1">
        <v>9</v>
      </c>
      <c r="J420" s="1">
        <v>27.8</v>
      </c>
      <c r="K420" s="1">
        <v>0.247</v>
      </c>
      <c r="L420" s="1">
        <v>66</v>
      </c>
      <c r="M420" s="1">
        <v>0</v>
      </c>
      <c r="N420" s="1" t="s">
        <v>46</v>
      </c>
      <c r="O420" s="1" t="str">
        <f t="shared" si="20"/>
        <v>Very Old</v>
      </c>
    </row>
    <row r="421" spans="1:15" x14ac:dyDescent="0.3">
      <c r="A421" s="1">
        <v>2693</v>
      </c>
      <c r="B421" s="1" t="s">
        <v>9</v>
      </c>
      <c r="C421" s="2">
        <v>45075</v>
      </c>
      <c r="D421" s="2" t="str">
        <f t="shared" si="18"/>
        <v>May</v>
      </c>
      <c r="E421" s="2" t="str">
        <f t="shared" si="19"/>
        <v>2023</v>
      </c>
      <c r="F421" s="1">
        <v>88</v>
      </c>
      <c r="G421" s="1">
        <v>62</v>
      </c>
      <c r="H421" s="1">
        <v>24</v>
      </c>
      <c r="I421" s="1">
        <v>44</v>
      </c>
      <c r="J421" s="1">
        <v>29.9</v>
      </c>
      <c r="K421" s="1">
        <v>0.42199999999999999</v>
      </c>
      <c r="L421" s="1">
        <v>23</v>
      </c>
      <c r="M421" s="1">
        <v>0</v>
      </c>
      <c r="N421" s="1" t="s">
        <v>46</v>
      </c>
      <c r="O421" s="1" t="str">
        <f t="shared" si="20"/>
        <v>Young</v>
      </c>
    </row>
    <row r="422" spans="1:15" x14ac:dyDescent="0.3">
      <c r="A422" s="1">
        <v>1990</v>
      </c>
      <c r="B422" s="1" t="s">
        <v>9</v>
      </c>
      <c r="C422" s="2">
        <v>44205</v>
      </c>
      <c r="D422" s="2" t="str">
        <f t="shared" si="18"/>
        <v>Jan</v>
      </c>
      <c r="E422" s="2" t="str">
        <f t="shared" si="19"/>
        <v>2021</v>
      </c>
      <c r="F422" s="1">
        <v>84</v>
      </c>
      <c r="G422" s="1">
        <v>64</v>
      </c>
      <c r="H422" s="1">
        <v>23</v>
      </c>
      <c r="I422" s="1">
        <v>115</v>
      </c>
      <c r="J422" s="1">
        <v>36.9</v>
      </c>
      <c r="K422" s="1">
        <v>0.47099999999999997</v>
      </c>
      <c r="L422" s="1">
        <v>28</v>
      </c>
      <c r="M422" s="1">
        <v>0</v>
      </c>
      <c r="N422" s="1" t="s">
        <v>46</v>
      </c>
      <c r="O422" s="1" t="str">
        <f t="shared" si="20"/>
        <v>Young</v>
      </c>
    </row>
    <row r="423" spans="1:15" x14ac:dyDescent="0.3">
      <c r="A423" s="1">
        <v>9525</v>
      </c>
      <c r="B423" s="1" t="s">
        <v>9</v>
      </c>
      <c r="C423" s="2">
        <v>45107</v>
      </c>
      <c r="D423" s="2" t="str">
        <f t="shared" si="18"/>
        <v>Jun</v>
      </c>
      <c r="E423" s="2" t="str">
        <f t="shared" si="19"/>
        <v>2023</v>
      </c>
      <c r="F423" s="1">
        <v>124</v>
      </c>
      <c r="G423" s="1">
        <v>70</v>
      </c>
      <c r="H423" s="1">
        <v>33</v>
      </c>
      <c r="I423" s="1">
        <v>215</v>
      </c>
      <c r="J423" s="1">
        <v>25.5</v>
      </c>
      <c r="K423" s="1">
        <v>0.161</v>
      </c>
      <c r="L423" s="1">
        <v>37</v>
      </c>
      <c r="M423" s="1">
        <v>0</v>
      </c>
      <c r="N423" s="1" t="s">
        <v>46</v>
      </c>
      <c r="O423" s="1" t="str">
        <f t="shared" si="20"/>
        <v>Middle-Aged</v>
      </c>
    </row>
    <row r="424" spans="1:15" x14ac:dyDescent="0.3">
      <c r="A424" s="1">
        <v>7496</v>
      </c>
      <c r="B424" s="1" t="s">
        <v>8</v>
      </c>
      <c r="C424" s="2">
        <v>45257</v>
      </c>
      <c r="D424" s="2" t="str">
        <f t="shared" si="18"/>
        <v>Nov</v>
      </c>
      <c r="E424" s="2" t="str">
        <f t="shared" si="19"/>
        <v>2023</v>
      </c>
      <c r="F424" s="1">
        <v>110</v>
      </c>
      <c r="G424" s="1">
        <v>76</v>
      </c>
      <c r="H424" s="1">
        <v>11</v>
      </c>
      <c r="I424" s="1">
        <v>9</v>
      </c>
      <c r="J424" s="1">
        <v>27.8</v>
      </c>
      <c r="K424" s="1">
        <v>0.23699999999999999</v>
      </c>
      <c r="L424" s="1">
        <v>58</v>
      </c>
      <c r="M424" s="1">
        <v>0</v>
      </c>
      <c r="N424" s="1" t="s">
        <v>46</v>
      </c>
      <c r="O424" s="1" t="str">
        <f t="shared" si="20"/>
        <v>Old</v>
      </c>
    </row>
    <row r="425" spans="1:15" x14ac:dyDescent="0.3">
      <c r="A425" s="1">
        <v>2475</v>
      </c>
      <c r="B425" s="1" t="s">
        <v>9</v>
      </c>
      <c r="C425" s="2">
        <v>44866</v>
      </c>
      <c r="D425" s="2" t="str">
        <f t="shared" si="18"/>
        <v>Nov</v>
      </c>
      <c r="E425" s="2" t="str">
        <f t="shared" si="19"/>
        <v>2022</v>
      </c>
      <c r="F425" s="1">
        <v>85</v>
      </c>
      <c r="G425" s="1">
        <v>74</v>
      </c>
      <c r="H425" s="1">
        <v>11</v>
      </c>
      <c r="I425" s="1">
        <v>9</v>
      </c>
      <c r="J425" s="1">
        <v>30.1</v>
      </c>
      <c r="K425" s="1">
        <v>0.3</v>
      </c>
      <c r="L425" s="1">
        <v>35</v>
      </c>
      <c r="M425" s="1">
        <v>0</v>
      </c>
      <c r="N425" s="1" t="s">
        <v>46</v>
      </c>
      <c r="O425" s="1" t="str">
        <f t="shared" si="20"/>
        <v>Young</v>
      </c>
    </row>
    <row r="426" spans="1:15" x14ac:dyDescent="0.3">
      <c r="A426" s="1">
        <v>4611</v>
      </c>
      <c r="B426" s="1" t="s">
        <v>8</v>
      </c>
      <c r="C426" s="2">
        <v>44948</v>
      </c>
      <c r="D426" s="2" t="str">
        <f t="shared" si="18"/>
        <v>Jan</v>
      </c>
      <c r="E426" s="2" t="str">
        <f t="shared" si="19"/>
        <v>2023</v>
      </c>
      <c r="F426" s="1">
        <v>125</v>
      </c>
      <c r="G426" s="1">
        <v>76</v>
      </c>
      <c r="H426" s="1">
        <v>11</v>
      </c>
      <c r="I426" s="1">
        <v>9</v>
      </c>
      <c r="J426" s="1">
        <v>33.799999999999997</v>
      </c>
      <c r="K426" s="1">
        <v>0.121</v>
      </c>
      <c r="L426" s="1">
        <v>54</v>
      </c>
      <c r="M426" s="1">
        <v>1</v>
      </c>
      <c r="N426" s="1" t="s">
        <v>45</v>
      </c>
      <c r="O426" s="1" t="str">
        <f t="shared" si="20"/>
        <v>Old</v>
      </c>
    </row>
    <row r="427" spans="1:15" x14ac:dyDescent="0.3">
      <c r="A427" s="1">
        <v>7153</v>
      </c>
      <c r="B427" s="1" t="s">
        <v>8</v>
      </c>
      <c r="C427" s="2">
        <v>44436</v>
      </c>
      <c r="D427" s="2" t="str">
        <f t="shared" si="18"/>
        <v>Aug</v>
      </c>
      <c r="E427" s="2" t="str">
        <f t="shared" si="19"/>
        <v>2021</v>
      </c>
      <c r="F427" s="1">
        <v>198</v>
      </c>
      <c r="G427" s="1">
        <v>66</v>
      </c>
      <c r="H427" s="1">
        <v>32</v>
      </c>
      <c r="I427" s="1">
        <v>274</v>
      </c>
      <c r="J427" s="1">
        <v>41.3</v>
      </c>
      <c r="K427" s="1">
        <v>0.502</v>
      </c>
      <c r="L427" s="1">
        <v>28</v>
      </c>
      <c r="M427" s="1">
        <v>1</v>
      </c>
      <c r="N427" s="1" t="s">
        <v>45</v>
      </c>
      <c r="O427" s="1" t="str">
        <f t="shared" si="20"/>
        <v>Young</v>
      </c>
    </row>
    <row r="428" spans="1:15" x14ac:dyDescent="0.3">
      <c r="A428" s="1">
        <v>2189</v>
      </c>
      <c r="B428" s="1" t="s">
        <v>9</v>
      </c>
      <c r="C428" s="2">
        <v>45651</v>
      </c>
      <c r="D428" s="2" t="str">
        <f t="shared" si="18"/>
        <v>Dec</v>
      </c>
      <c r="E428" s="2" t="str">
        <f t="shared" si="19"/>
        <v>2024</v>
      </c>
      <c r="F428" s="1">
        <v>87</v>
      </c>
      <c r="G428" s="1">
        <v>68</v>
      </c>
      <c r="H428" s="1">
        <v>34</v>
      </c>
      <c r="I428" s="1">
        <v>77</v>
      </c>
      <c r="J428" s="1">
        <v>37.6</v>
      </c>
      <c r="K428" s="1">
        <v>0.40100000000000002</v>
      </c>
      <c r="L428" s="1">
        <v>24</v>
      </c>
      <c r="M428" s="1">
        <v>0</v>
      </c>
      <c r="N428" s="1" t="s">
        <v>46</v>
      </c>
      <c r="O428" s="1" t="str">
        <f t="shared" si="20"/>
        <v>Young</v>
      </c>
    </row>
    <row r="429" spans="1:15" x14ac:dyDescent="0.3">
      <c r="A429" s="1">
        <v>3027</v>
      </c>
      <c r="B429" s="1" t="s">
        <v>8</v>
      </c>
      <c r="C429" s="2">
        <v>45420</v>
      </c>
      <c r="D429" s="2" t="str">
        <f t="shared" si="18"/>
        <v>May</v>
      </c>
      <c r="E429" s="2" t="str">
        <f t="shared" si="19"/>
        <v>2024</v>
      </c>
      <c r="F429" s="1">
        <v>99</v>
      </c>
      <c r="G429" s="1">
        <v>60</v>
      </c>
      <c r="H429" s="1">
        <v>19</v>
      </c>
      <c r="I429" s="1">
        <v>54</v>
      </c>
      <c r="J429" s="1">
        <v>26.9</v>
      </c>
      <c r="K429" s="1">
        <v>0.497</v>
      </c>
      <c r="L429" s="1">
        <v>32</v>
      </c>
      <c r="M429" s="1">
        <v>0</v>
      </c>
      <c r="N429" s="1" t="s">
        <v>46</v>
      </c>
      <c r="O429" s="1" t="str">
        <f t="shared" si="20"/>
        <v>Young</v>
      </c>
    </row>
    <row r="430" spans="1:15" x14ac:dyDescent="0.3">
      <c r="A430" s="1">
        <v>4076</v>
      </c>
      <c r="B430" s="1" t="s">
        <v>8</v>
      </c>
      <c r="C430" s="2">
        <v>45260</v>
      </c>
      <c r="D430" s="2" t="str">
        <f t="shared" si="18"/>
        <v>Nov</v>
      </c>
      <c r="E430" s="2" t="str">
        <f t="shared" si="19"/>
        <v>2023</v>
      </c>
      <c r="F430" s="1">
        <v>91</v>
      </c>
      <c r="G430" s="1">
        <v>80</v>
      </c>
      <c r="H430" s="1">
        <v>11</v>
      </c>
      <c r="I430" s="1">
        <v>9</v>
      </c>
      <c r="J430" s="1">
        <v>32.4</v>
      </c>
      <c r="K430" s="1">
        <v>0.60099999999999998</v>
      </c>
      <c r="L430" s="1">
        <v>27</v>
      </c>
      <c r="M430" s="1">
        <v>0</v>
      </c>
      <c r="N430" s="1" t="s">
        <v>46</v>
      </c>
      <c r="O430" s="1" t="str">
        <f t="shared" si="20"/>
        <v>Young</v>
      </c>
    </row>
    <row r="431" spans="1:15" x14ac:dyDescent="0.3">
      <c r="A431" s="1">
        <v>6565</v>
      </c>
      <c r="B431" s="1" t="s">
        <v>8</v>
      </c>
      <c r="C431" s="2">
        <v>45385</v>
      </c>
      <c r="D431" s="2" t="str">
        <f t="shared" si="18"/>
        <v>Apr</v>
      </c>
      <c r="E431" s="2" t="str">
        <f t="shared" si="19"/>
        <v>2024</v>
      </c>
      <c r="F431" s="1">
        <v>95</v>
      </c>
      <c r="G431" s="1">
        <v>54</v>
      </c>
      <c r="H431" s="1">
        <v>14</v>
      </c>
      <c r="I431" s="1">
        <v>88</v>
      </c>
      <c r="J431" s="1">
        <v>26.1</v>
      </c>
      <c r="K431" s="1">
        <v>0.748</v>
      </c>
      <c r="L431" s="1">
        <v>22</v>
      </c>
      <c r="M431" s="1">
        <v>0</v>
      </c>
      <c r="N431" s="1" t="s">
        <v>46</v>
      </c>
      <c r="O431" s="1" t="str">
        <f t="shared" si="20"/>
        <v>Young</v>
      </c>
    </row>
    <row r="432" spans="1:15" x14ac:dyDescent="0.3">
      <c r="A432" s="1">
        <v>7465</v>
      </c>
      <c r="B432" s="1" t="s">
        <v>9</v>
      </c>
      <c r="C432" s="2">
        <v>45174</v>
      </c>
      <c r="D432" s="2" t="str">
        <f t="shared" si="18"/>
        <v>Sep</v>
      </c>
      <c r="E432" s="2" t="str">
        <f t="shared" si="19"/>
        <v>2023</v>
      </c>
      <c r="F432" s="1">
        <v>99</v>
      </c>
      <c r="G432" s="1">
        <v>72</v>
      </c>
      <c r="H432" s="1">
        <v>30</v>
      </c>
      <c r="I432" s="1">
        <v>18</v>
      </c>
      <c r="J432" s="1">
        <v>38.6</v>
      </c>
      <c r="K432" s="1">
        <v>0.41199999999999998</v>
      </c>
      <c r="L432" s="1">
        <v>21</v>
      </c>
      <c r="M432" s="1">
        <v>0</v>
      </c>
      <c r="N432" s="1" t="s">
        <v>46</v>
      </c>
      <c r="O432" s="1" t="str">
        <f t="shared" si="20"/>
        <v>Young</v>
      </c>
    </row>
    <row r="433" spans="1:15" x14ac:dyDescent="0.3">
      <c r="A433" s="1">
        <v>1201</v>
      </c>
      <c r="B433" s="1" t="s">
        <v>8</v>
      </c>
      <c r="C433" s="2">
        <v>44252</v>
      </c>
      <c r="D433" s="2" t="str">
        <f t="shared" si="18"/>
        <v>Feb</v>
      </c>
      <c r="E433" s="2" t="str">
        <f t="shared" si="19"/>
        <v>2021</v>
      </c>
      <c r="F433" s="1">
        <v>92</v>
      </c>
      <c r="G433" s="1">
        <v>62</v>
      </c>
      <c r="H433" s="1">
        <v>32</v>
      </c>
      <c r="I433" s="1">
        <v>126</v>
      </c>
      <c r="J433" s="1">
        <v>32</v>
      </c>
      <c r="K433" s="1">
        <v>8.5000000000000006E-2</v>
      </c>
      <c r="L433" s="1">
        <v>46</v>
      </c>
      <c r="M433" s="1">
        <v>0</v>
      </c>
      <c r="N433" s="1" t="s">
        <v>46</v>
      </c>
      <c r="O433" s="1" t="str">
        <f t="shared" si="20"/>
        <v>Middle-Aged</v>
      </c>
    </row>
    <row r="434" spans="1:15" x14ac:dyDescent="0.3">
      <c r="A434" s="1">
        <v>2104</v>
      </c>
      <c r="B434" s="1" t="s">
        <v>8</v>
      </c>
      <c r="C434" s="2">
        <v>45082</v>
      </c>
      <c r="D434" s="2" t="str">
        <f t="shared" si="18"/>
        <v>Jun</v>
      </c>
      <c r="E434" s="2" t="str">
        <f t="shared" si="19"/>
        <v>2023</v>
      </c>
      <c r="F434" s="1">
        <v>154</v>
      </c>
      <c r="G434" s="1">
        <v>72</v>
      </c>
      <c r="H434" s="1">
        <v>29</v>
      </c>
      <c r="I434" s="1">
        <v>126</v>
      </c>
      <c r="J434" s="1">
        <v>31.3</v>
      </c>
      <c r="K434" s="1">
        <v>0.33800000000000002</v>
      </c>
      <c r="L434" s="1">
        <v>37</v>
      </c>
      <c r="M434" s="1">
        <v>0</v>
      </c>
      <c r="N434" s="1" t="s">
        <v>46</v>
      </c>
      <c r="O434" s="1" t="str">
        <f t="shared" si="20"/>
        <v>Middle-Aged</v>
      </c>
    </row>
    <row r="435" spans="1:15" x14ac:dyDescent="0.3">
      <c r="A435" s="1">
        <v>6827</v>
      </c>
      <c r="B435" s="1" t="s">
        <v>8</v>
      </c>
      <c r="C435" s="2">
        <v>44345</v>
      </c>
      <c r="D435" s="2" t="str">
        <f t="shared" si="18"/>
        <v>May</v>
      </c>
      <c r="E435" s="2" t="str">
        <f t="shared" si="19"/>
        <v>2021</v>
      </c>
      <c r="F435" s="1">
        <v>121</v>
      </c>
      <c r="G435" s="1">
        <v>66</v>
      </c>
      <c r="H435" s="1">
        <v>30</v>
      </c>
      <c r="I435" s="1">
        <v>165</v>
      </c>
      <c r="J435" s="1">
        <v>34.299999999999997</v>
      </c>
      <c r="K435" s="1">
        <v>0.20300000000000001</v>
      </c>
      <c r="L435" s="1">
        <v>33</v>
      </c>
      <c r="M435" s="1">
        <v>1</v>
      </c>
      <c r="N435" s="1" t="s">
        <v>45</v>
      </c>
      <c r="O435" s="1" t="str">
        <f t="shared" si="20"/>
        <v>Young</v>
      </c>
    </row>
    <row r="436" spans="1:15" x14ac:dyDescent="0.3">
      <c r="A436" s="1">
        <v>8144</v>
      </c>
      <c r="B436" s="1" t="s">
        <v>9</v>
      </c>
      <c r="C436" s="2">
        <v>45038</v>
      </c>
      <c r="D436" s="2" t="str">
        <f t="shared" si="18"/>
        <v>Apr</v>
      </c>
      <c r="E436" s="2" t="str">
        <f t="shared" si="19"/>
        <v>2023</v>
      </c>
      <c r="F436" s="1">
        <v>78</v>
      </c>
      <c r="G436" s="1">
        <v>70</v>
      </c>
      <c r="H436" s="1">
        <v>11</v>
      </c>
      <c r="I436" s="1">
        <v>9</v>
      </c>
      <c r="J436" s="1">
        <v>32.5</v>
      </c>
      <c r="K436" s="1">
        <v>0.27</v>
      </c>
      <c r="L436" s="1">
        <v>39</v>
      </c>
      <c r="M436" s="1">
        <v>0</v>
      </c>
      <c r="N436" s="1" t="s">
        <v>46</v>
      </c>
      <c r="O436" s="1" t="str">
        <f t="shared" si="20"/>
        <v>Middle-Aged</v>
      </c>
    </row>
    <row r="437" spans="1:15" x14ac:dyDescent="0.3">
      <c r="A437" s="1">
        <v>9257</v>
      </c>
      <c r="B437" s="1" t="s">
        <v>8</v>
      </c>
      <c r="C437" s="2">
        <v>45046</v>
      </c>
      <c r="D437" s="2" t="str">
        <f t="shared" si="18"/>
        <v>Apr</v>
      </c>
      <c r="E437" s="2" t="str">
        <f t="shared" si="19"/>
        <v>2023</v>
      </c>
      <c r="F437" s="1">
        <v>130</v>
      </c>
      <c r="G437" s="1">
        <v>96</v>
      </c>
      <c r="H437" s="1">
        <v>11</v>
      </c>
      <c r="I437" s="1">
        <v>9</v>
      </c>
      <c r="J437" s="1">
        <v>22.6</v>
      </c>
      <c r="K437" s="1">
        <v>0.26800000000000002</v>
      </c>
      <c r="L437" s="1">
        <v>21</v>
      </c>
      <c r="M437" s="1">
        <v>0</v>
      </c>
      <c r="N437" s="1" t="s">
        <v>46</v>
      </c>
      <c r="O437" s="1" t="str">
        <f t="shared" si="20"/>
        <v>Young</v>
      </c>
    </row>
    <row r="438" spans="1:15" x14ac:dyDescent="0.3">
      <c r="A438" s="1">
        <v>8667</v>
      </c>
      <c r="B438" s="1" t="s">
        <v>9</v>
      </c>
      <c r="C438" s="2">
        <v>44688</v>
      </c>
      <c r="D438" s="2" t="str">
        <f t="shared" si="18"/>
        <v>May</v>
      </c>
      <c r="E438" s="2" t="str">
        <f t="shared" si="19"/>
        <v>2022</v>
      </c>
      <c r="F438" s="1">
        <v>111</v>
      </c>
      <c r="G438" s="1">
        <v>58</v>
      </c>
      <c r="H438" s="1">
        <v>31</v>
      </c>
      <c r="I438" s="1">
        <v>44</v>
      </c>
      <c r="J438" s="1">
        <v>29.5</v>
      </c>
      <c r="K438" s="1">
        <v>0.43</v>
      </c>
      <c r="L438" s="1">
        <v>22</v>
      </c>
      <c r="M438" s="1">
        <v>0</v>
      </c>
      <c r="N438" s="1" t="s">
        <v>46</v>
      </c>
      <c r="O438" s="1" t="str">
        <f t="shared" si="20"/>
        <v>Young</v>
      </c>
    </row>
    <row r="439" spans="1:15" x14ac:dyDescent="0.3">
      <c r="A439" s="1">
        <v>4436</v>
      </c>
      <c r="B439" s="1" t="s">
        <v>8</v>
      </c>
      <c r="C439" s="2">
        <v>44443</v>
      </c>
      <c r="D439" s="2" t="str">
        <f t="shared" si="18"/>
        <v>Sep</v>
      </c>
      <c r="E439" s="2" t="str">
        <f t="shared" si="19"/>
        <v>2021</v>
      </c>
      <c r="F439" s="1">
        <v>98</v>
      </c>
      <c r="G439" s="1">
        <v>60</v>
      </c>
      <c r="H439" s="1">
        <v>17</v>
      </c>
      <c r="I439" s="1">
        <v>120</v>
      </c>
      <c r="J439" s="1">
        <v>34.700000000000003</v>
      </c>
      <c r="K439" s="1">
        <v>0.19800000000000001</v>
      </c>
      <c r="L439" s="1">
        <v>22</v>
      </c>
      <c r="M439" s="1">
        <v>0</v>
      </c>
      <c r="N439" s="1" t="s">
        <v>46</v>
      </c>
      <c r="O439" s="1" t="str">
        <f t="shared" si="20"/>
        <v>Young</v>
      </c>
    </row>
    <row r="440" spans="1:15" x14ac:dyDescent="0.3">
      <c r="A440" s="1">
        <v>9172</v>
      </c>
      <c r="B440" s="1" t="s">
        <v>9</v>
      </c>
      <c r="C440" s="2">
        <v>44671</v>
      </c>
      <c r="D440" s="2" t="str">
        <f t="shared" si="18"/>
        <v>Apr</v>
      </c>
      <c r="E440" s="2" t="str">
        <f t="shared" si="19"/>
        <v>2022</v>
      </c>
      <c r="F440" s="1">
        <v>143</v>
      </c>
      <c r="G440" s="1">
        <v>86</v>
      </c>
      <c r="H440" s="1">
        <v>30</v>
      </c>
      <c r="I440" s="1">
        <v>330</v>
      </c>
      <c r="J440" s="1">
        <v>30.1</v>
      </c>
      <c r="K440" s="1">
        <v>0.89200000000000002</v>
      </c>
      <c r="L440" s="1">
        <v>23</v>
      </c>
      <c r="M440" s="1">
        <v>0</v>
      </c>
      <c r="N440" s="1" t="s">
        <v>46</v>
      </c>
      <c r="O440" s="1" t="str">
        <f t="shared" si="20"/>
        <v>Young</v>
      </c>
    </row>
    <row r="441" spans="1:15" x14ac:dyDescent="0.3">
      <c r="A441" s="1">
        <v>2810</v>
      </c>
      <c r="B441" s="1" t="s">
        <v>9</v>
      </c>
      <c r="C441" s="2">
        <v>45029</v>
      </c>
      <c r="D441" s="2" t="str">
        <f t="shared" si="18"/>
        <v>Apr</v>
      </c>
      <c r="E441" s="2" t="str">
        <f t="shared" si="19"/>
        <v>2023</v>
      </c>
      <c r="F441" s="1">
        <v>119</v>
      </c>
      <c r="G441" s="1">
        <v>44</v>
      </c>
      <c r="H441" s="1">
        <v>47</v>
      </c>
      <c r="I441" s="1">
        <v>63</v>
      </c>
      <c r="J441" s="1">
        <v>35.5</v>
      </c>
      <c r="K441" s="1">
        <v>0.28000000000000003</v>
      </c>
      <c r="L441" s="1">
        <v>25</v>
      </c>
      <c r="M441" s="1">
        <v>0</v>
      </c>
      <c r="N441" s="1" t="s">
        <v>46</v>
      </c>
      <c r="O441" s="1" t="str">
        <f t="shared" si="20"/>
        <v>Young</v>
      </c>
    </row>
    <row r="442" spans="1:15" x14ac:dyDescent="0.3">
      <c r="A442" s="1">
        <v>9091</v>
      </c>
      <c r="B442" s="1" t="s">
        <v>8</v>
      </c>
      <c r="C442" s="2">
        <v>45493</v>
      </c>
      <c r="D442" s="2" t="str">
        <f t="shared" si="18"/>
        <v>Jul</v>
      </c>
      <c r="E442" s="2" t="str">
        <f t="shared" si="19"/>
        <v>2024</v>
      </c>
      <c r="F442" s="1">
        <v>108</v>
      </c>
      <c r="G442" s="1">
        <v>44</v>
      </c>
      <c r="H442" s="1">
        <v>20</v>
      </c>
      <c r="I442" s="1">
        <v>130</v>
      </c>
      <c r="J442" s="1">
        <v>24</v>
      </c>
      <c r="K442" s="1">
        <v>0.81299999999999994</v>
      </c>
      <c r="L442" s="1">
        <v>35</v>
      </c>
      <c r="M442" s="1">
        <v>0</v>
      </c>
      <c r="N442" s="1" t="s">
        <v>46</v>
      </c>
      <c r="O442" s="1" t="str">
        <f t="shared" si="20"/>
        <v>Young</v>
      </c>
    </row>
    <row r="443" spans="1:15" x14ac:dyDescent="0.3">
      <c r="A443" s="1">
        <v>6319</v>
      </c>
      <c r="B443" s="1" t="s">
        <v>8</v>
      </c>
      <c r="C443" s="2">
        <v>44630</v>
      </c>
      <c r="D443" s="2" t="str">
        <f t="shared" si="18"/>
        <v>Mar</v>
      </c>
      <c r="E443" s="2" t="str">
        <f t="shared" si="19"/>
        <v>2022</v>
      </c>
      <c r="F443" s="1">
        <v>118</v>
      </c>
      <c r="G443" s="1">
        <v>80</v>
      </c>
      <c r="H443" s="1">
        <v>11</v>
      </c>
      <c r="I443" s="1">
        <v>9</v>
      </c>
      <c r="J443" s="1">
        <v>42.9</v>
      </c>
      <c r="K443" s="1">
        <v>0.69299999999999995</v>
      </c>
      <c r="L443" s="1">
        <v>21</v>
      </c>
      <c r="M443" s="1">
        <v>1</v>
      </c>
      <c r="N443" s="1" t="s">
        <v>45</v>
      </c>
      <c r="O443" s="1" t="str">
        <f t="shared" si="20"/>
        <v>Young</v>
      </c>
    </row>
    <row r="444" spans="1:15" x14ac:dyDescent="0.3">
      <c r="A444" s="1">
        <v>8546</v>
      </c>
      <c r="B444" s="1" t="s">
        <v>8</v>
      </c>
      <c r="C444" s="2">
        <v>44428</v>
      </c>
      <c r="D444" s="2" t="str">
        <f t="shared" si="18"/>
        <v>Aug</v>
      </c>
      <c r="E444" s="2" t="str">
        <f t="shared" si="19"/>
        <v>2021</v>
      </c>
      <c r="F444" s="1">
        <v>133</v>
      </c>
      <c r="G444" s="1">
        <v>68</v>
      </c>
      <c r="H444" s="1">
        <v>11</v>
      </c>
      <c r="I444" s="1">
        <v>9</v>
      </c>
      <c r="J444" s="1">
        <v>27</v>
      </c>
      <c r="K444" s="1">
        <v>0.245</v>
      </c>
      <c r="L444" s="1">
        <v>36</v>
      </c>
      <c r="M444" s="1">
        <v>0</v>
      </c>
      <c r="N444" s="1" t="s">
        <v>46</v>
      </c>
      <c r="O444" s="1" t="str">
        <f t="shared" si="20"/>
        <v>Middle-Aged</v>
      </c>
    </row>
    <row r="445" spans="1:15" x14ac:dyDescent="0.3">
      <c r="A445" s="1">
        <v>3903</v>
      </c>
      <c r="B445" s="1" t="s">
        <v>8</v>
      </c>
      <c r="C445" s="2">
        <v>45560</v>
      </c>
      <c r="D445" s="2" t="str">
        <f t="shared" si="18"/>
        <v>Sep</v>
      </c>
      <c r="E445" s="2" t="str">
        <f t="shared" si="19"/>
        <v>2024</v>
      </c>
      <c r="F445" s="1">
        <v>100</v>
      </c>
      <c r="G445" s="1">
        <v>76</v>
      </c>
      <c r="H445" s="1">
        <v>11</v>
      </c>
      <c r="I445" s="1">
        <v>9</v>
      </c>
      <c r="J445" s="1">
        <v>38.700000000000003</v>
      </c>
      <c r="K445" s="1">
        <v>0.19</v>
      </c>
      <c r="L445" s="1">
        <v>42</v>
      </c>
      <c r="M445" s="1">
        <v>0</v>
      </c>
      <c r="N445" s="1" t="s">
        <v>46</v>
      </c>
      <c r="O445" s="1" t="str">
        <f t="shared" si="20"/>
        <v>Middle-Aged</v>
      </c>
    </row>
    <row r="446" spans="1:15" x14ac:dyDescent="0.3">
      <c r="A446" s="1">
        <v>8507</v>
      </c>
      <c r="B446" s="1" t="s">
        <v>8</v>
      </c>
      <c r="C446" s="2">
        <v>45134</v>
      </c>
      <c r="D446" s="2" t="str">
        <f t="shared" si="18"/>
        <v>Jul</v>
      </c>
      <c r="E446" s="2" t="str">
        <f t="shared" si="19"/>
        <v>2023</v>
      </c>
      <c r="F446" s="1">
        <v>124</v>
      </c>
      <c r="G446" s="1">
        <v>76</v>
      </c>
      <c r="H446" s="1">
        <v>24</v>
      </c>
      <c r="I446" s="1">
        <v>600</v>
      </c>
      <c r="J446" s="1">
        <v>28.7</v>
      </c>
      <c r="K446" s="1">
        <v>0.68700000000000006</v>
      </c>
      <c r="L446" s="1">
        <v>52</v>
      </c>
      <c r="M446" s="1">
        <v>1</v>
      </c>
      <c r="N446" s="1" t="s">
        <v>45</v>
      </c>
      <c r="O446" s="1" t="str">
        <f t="shared" si="20"/>
        <v>Old</v>
      </c>
    </row>
    <row r="447" spans="1:15" x14ac:dyDescent="0.3">
      <c r="A447" s="1">
        <v>4861</v>
      </c>
      <c r="B447" s="1" t="s">
        <v>8</v>
      </c>
      <c r="C447" s="2">
        <v>45521</v>
      </c>
      <c r="D447" s="2" t="str">
        <f t="shared" si="18"/>
        <v>Aug</v>
      </c>
      <c r="E447" s="2" t="str">
        <f t="shared" si="19"/>
        <v>2024</v>
      </c>
      <c r="F447" s="1">
        <v>143</v>
      </c>
      <c r="G447" s="1">
        <v>66</v>
      </c>
      <c r="H447" s="1">
        <v>11</v>
      </c>
      <c r="I447" s="1">
        <v>9</v>
      </c>
      <c r="J447" s="1">
        <v>34.9</v>
      </c>
      <c r="K447" s="1">
        <v>0.129</v>
      </c>
      <c r="L447" s="1">
        <v>41</v>
      </c>
      <c r="M447" s="1">
        <v>1</v>
      </c>
      <c r="N447" s="1" t="s">
        <v>45</v>
      </c>
      <c r="O447" s="1" t="str">
        <f t="shared" si="20"/>
        <v>Middle-Aged</v>
      </c>
    </row>
    <row r="448" spans="1:15" x14ac:dyDescent="0.3">
      <c r="A448" s="1">
        <v>2559</v>
      </c>
      <c r="B448" s="1" t="s">
        <v>8</v>
      </c>
      <c r="C448" s="2">
        <v>45231</v>
      </c>
      <c r="D448" s="2" t="str">
        <f t="shared" si="18"/>
        <v>Nov</v>
      </c>
      <c r="E448" s="2" t="str">
        <f t="shared" si="19"/>
        <v>2023</v>
      </c>
      <c r="F448" s="1">
        <v>103</v>
      </c>
      <c r="G448" s="1">
        <v>66</v>
      </c>
      <c r="H448" s="1">
        <v>11</v>
      </c>
      <c r="I448" s="1">
        <v>9</v>
      </c>
      <c r="J448" s="1">
        <v>24.3</v>
      </c>
      <c r="K448" s="1">
        <v>0.249</v>
      </c>
      <c r="L448" s="1">
        <v>29</v>
      </c>
      <c r="M448" s="1">
        <v>0</v>
      </c>
      <c r="N448" s="1" t="s">
        <v>46</v>
      </c>
      <c r="O448" s="1" t="str">
        <f t="shared" si="20"/>
        <v>Young</v>
      </c>
    </row>
    <row r="449" spans="1:15" x14ac:dyDescent="0.3">
      <c r="A449" s="1">
        <v>8717</v>
      </c>
      <c r="B449" s="1" t="s">
        <v>9</v>
      </c>
      <c r="C449" s="2">
        <v>44632</v>
      </c>
      <c r="D449" s="2" t="str">
        <f t="shared" si="18"/>
        <v>Mar</v>
      </c>
      <c r="E449" s="2" t="str">
        <f t="shared" si="19"/>
        <v>2022</v>
      </c>
      <c r="F449" s="1">
        <v>176</v>
      </c>
      <c r="G449" s="1">
        <v>86</v>
      </c>
      <c r="H449" s="1">
        <v>27</v>
      </c>
      <c r="I449" s="1">
        <v>156</v>
      </c>
      <c r="J449" s="1">
        <v>33.299999999999997</v>
      </c>
      <c r="K449" s="1">
        <v>1.1539999999999999</v>
      </c>
      <c r="L449" s="1">
        <v>52</v>
      </c>
      <c r="M449" s="1">
        <v>1</v>
      </c>
      <c r="N449" s="1" t="s">
        <v>45</v>
      </c>
      <c r="O449" s="1" t="str">
        <f t="shared" si="20"/>
        <v>Old</v>
      </c>
    </row>
    <row r="450" spans="1:15" x14ac:dyDescent="0.3">
      <c r="A450" s="1">
        <v>4539</v>
      </c>
      <c r="B450" s="1" t="s">
        <v>8</v>
      </c>
      <c r="C450" s="2">
        <v>45041</v>
      </c>
      <c r="D450" s="2" t="str">
        <f t="shared" si="18"/>
        <v>Apr</v>
      </c>
      <c r="E450" s="2" t="str">
        <f t="shared" si="19"/>
        <v>2023</v>
      </c>
      <c r="F450" s="1">
        <v>112</v>
      </c>
      <c r="G450" s="1">
        <v>78</v>
      </c>
      <c r="H450" s="1">
        <v>50</v>
      </c>
      <c r="I450" s="1">
        <v>140</v>
      </c>
      <c r="J450" s="1">
        <v>39.4</v>
      </c>
      <c r="K450" s="1">
        <v>0.17499999999999999</v>
      </c>
      <c r="L450" s="1">
        <v>24</v>
      </c>
      <c r="M450" s="1">
        <v>0</v>
      </c>
      <c r="N450" s="1" t="s">
        <v>46</v>
      </c>
      <c r="O450" s="1" t="str">
        <f t="shared" si="20"/>
        <v>Young</v>
      </c>
    </row>
    <row r="451" spans="1:15" x14ac:dyDescent="0.3">
      <c r="A451" s="1">
        <v>8752</v>
      </c>
      <c r="B451" s="1" t="s">
        <v>9</v>
      </c>
      <c r="C451" s="2">
        <v>44406</v>
      </c>
      <c r="D451" s="2" t="str">
        <f t="shared" ref="D451:D514" si="21">TEXT(C451,"MMM")</f>
        <v>Jul</v>
      </c>
      <c r="E451" s="2" t="str">
        <f t="shared" ref="E451:E514" si="22">TEXT(C451,"YYY")</f>
        <v>2021</v>
      </c>
      <c r="F451" s="1">
        <v>132</v>
      </c>
      <c r="G451" s="1">
        <v>80</v>
      </c>
      <c r="H451" s="1">
        <v>4</v>
      </c>
      <c r="I451" s="1">
        <v>9</v>
      </c>
      <c r="J451" s="1">
        <v>34.4</v>
      </c>
      <c r="K451" s="1">
        <v>0.40200000000000002</v>
      </c>
      <c r="L451" s="1">
        <v>44</v>
      </c>
      <c r="M451" s="1">
        <v>1</v>
      </c>
      <c r="N451" s="1" t="s">
        <v>45</v>
      </c>
      <c r="O451" s="1" t="str">
        <f t="shared" ref="O451:O514" si="23">IF(L451&lt;=35,"Young",IF(L451&lt;=50,"Middle-Aged",IF(L451&lt;=65,"Old","Very Old")))</f>
        <v>Middle-Aged</v>
      </c>
    </row>
    <row r="452" spans="1:15" x14ac:dyDescent="0.3">
      <c r="A452" s="1">
        <v>2411</v>
      </c>
      <c r="B452" s="1" t="s">
        <v>8</v>
      </c>
      <c r="C452" s="2">
        <v>45562</v>
      </c>
      <c r="D452" s="2" t="str">
        <f t="shared" si="21"/>
        <v>Sep</v>
      </c>
      <c r="E452" s="2" t="str">
        <f t="shared" si="22"/>
        <v>2024</v>
      </c>
      <c r="F452" s="1">
        <v>82</v>
      </c>
      <c r="G452" s="1">
        <v>52</v>
      </c>
      <c r="H452" s="1">
        <v>22</v>
      </c>
      <c r="I452" s="1">
        <v>115</v>
      </c>
      <c r="J452" s="1">
        <v>28.5</v>
      </c>
      <c r="K452" s="1">
        <v>1.6990000000000001</v>
      </c>
      <c r="L452" s="1">
        <v>25</v>
      </c>
      <c r="M452" s="1">
        <v>0</v>
      </c>
      <c r="N452" s="1" t="s">
        <v>46</v>
      </c>
      <c r="O452" s="1" t="str">
        <f t="shared" si="23"/>
        <v>Young</v>
      </c>
    </row>
    <row r="453" spans="1:15" x14ac:dyDescent="0.3">
      <c r="A453" s="1">
        <v>8069</v>
      </c>
      <c r="B453" s="1" t="s">
        <v>8</v>
      </c>
      <c r="C453" s="2">
        <v>44332</v>
      </c>
      <c r="D453" s="2" t="str">
        <f t="shared" si="21"/>
        <v>May</v>
      </c>
      <c r="E453" s="2" t="str">
        <f t="shared" si="22"/>
        <v>2021</v>
      </c>
      <c r="F453" s="1">
        <v>123</v>
      </c>
      <c r="G453" s="1">
        <v>72</v>
      </c>
      <c r="H453" s="1">
        <v>45</v>
      </c>
      <c r="I453" s="1">
        <v>230</v>
      </c>
      <c r="J453" s="1">
        <v>33.6</v>
      </c>
      <c r="K453" s="1">
        <v>0.73299999999999998</v>
      </c>
      <c r="L453" s="1">
        <v>34</v>
      </c>
      <c r="M453" s="1">
        <v>0</v>
      </c>
      <c r="N453" s="1" t="s">
        <v>46</v>
      </c>
      <c r="O453" s="1" t="str">
        <f t="shared" si="23"/>
        <v>Young</v>
      </c>
    </row>
    <row r="454" spans="1:15" x14ac:dyDescent="0.3">
      <c r="A454" s="1">
        <v>5218</v>
      </c>
      <c r="B454" s="1" t="s">
        <v>8</v>
      </c>
      <c r="C454" s="2">
        <v>44626</v>
      </c>
      <c r="D454" s="2" t="str">
        <f t="shared" si="21"/>
        <v>Mar</v>
      </c>
      <c r="E454" s="2" t="str">
        <f t="shared" si="22"/>
        <v>2022</v>
      </c>
      <c r="F454" s="1">
        <v>188</v>
      </c>
      <c r="G454" s="1">
        <v>82</v>
      </c>
      <c r="H454" s="1">
        <v>14</v>
      </c>
      <c r="I454" s="1">
        <v>185</v>
      </c>
      <c r="J454" s="1">
        <v>32</v>
      </c>
      <c r="K454" s="1">
        <v>0.68200000000000005</v>
      </c>
      <c r="L454" s="1">
        <v>22</v>
      </c>
      <c r="M454" s="1">
        <v>1</v>
      </c>
      <c r="N454" s="1" t="s">
        <v>45</v>
      </c>
      <c r="O454" s="1" t="str">
        <f t="shared" si="23"/>
        <v>Young</v>
      </c>
    </row>
    <row r="455" spans="1:15" x14ac:dyDescent="0.3">
      <c r="A455" s="1">
        <v>8055</v>
      </c>
      <c r="B455" s="1" t="s">
        <v>8</v>
      </c>
      <c r="C455" s="2">
        <v>45238</v>
      </c>
      <c r="D455" s="2" t="str">
        <f t="shared" si="21"/>
        <v>Nov</v>
      </c>
      <c r="E455" s="2" t="str">
        <f t="shared" si="22"/>
        <v>2023</v>
      </c>
      <c r="F455" s="1">
        <v>67</v>
      </c>
      <c r="G455" s="1">
        <v>76</v>
      </c>
      <c r="H455" s="1">
        <v>4</v>
      </c>
      <c r="I455" s="1">
        <v>9</v>
      </c>
      <c r="J455" s="1">
        <v>45.3</v>
      </c>
      <c r="K455" s="1">
        <v>0.19400000000000001</v>
      </c>
      <c r="L455" s="1">
        <v>46</v>
      </c>
      <c r="M455" s="1">
        <v>0</v>
      </c>
      <c r="N455" s="1" t="s">
        <v>46</v>
      </c>
      <c r="O455" s="1" t="str">
        <f t="shared" si="23"/>
        <v>Middle-Aged</v>
      </c>
    </row>
    <row r="456" spans="1:15" x14ac:dyDescent="0.3">
      <c r="A456" s="1">
        <v>6985</v>
      </c>
      <c r="B456" s="1" t="s">
        <v>9</v>
      </c>
      <c r="C456" s="2">
        <v>45551</v>
      </c>
      <c r="D456" s="2" t="str">
        <f t="shared" si="21"/>
        <v>Sep</v>
      </c>
      <c r="E456" s="2" t="str">
        <f t="shared" si="22"/>
        <v>2024</v>
      </c>
      <c r="F456" s="1">
        <v>89</v>
      </c>
      <c r="G456" s="1">
        <v>24</v>
      </c>
      <c r="H456" s="1">
        <v>19</v>
      </c>
      <c r="I456" s="1">
        <v>25</v>
      </c>
      <c r="J456" s="1">
        <v>27.8</v>
      </c>
      <c r="K456" s="1">
        <v>0.55900000000000005</v>
      </c>
      <c r="L456" s="1">
        <v>21</v>
      </c>
      <c r="M456" s="1">
        <v>0</v>
      </c>
      <c r="N456" s="1" t="s">
        <v>46</v>
      </c>
      <c r="O456" s="1" t="str">
        <f t="shared" si="23"/>
        <v>Young</v>
      </c>
    </row>
    <row r="457" spans="1:15" x14ac:dyDescent="0.3">
      <c r="A457" s="1">
        <v>3368</v>
      </c>
      <c r="B457" s="1" t="s">
        <v>9</v>
      </c>
      <c r="C457" s="2">
        <v>45246</v>
      </c>
      <c r="D457" s="2" t="str">
        <f t="shared" si="21"/>
        <v>Nov</v>
      </c>
      <c r="E457" s="2" t="str">
        <f t="shared" si="22"/>
        <v>2023</v>
      </c>
      <c r="F457" s="1">
        <v>173</v>
      </c>
      <c r="G457" s="1">
        <v>74</v>
      </c>
      <c r="H457" s="1">
        <v>4</v>
      </c>
      <c r="I457" s="1">
        <v>9</v>
      </c>
      <c r="J457" s="1">
        <v>36.799999999999997</v>
      </c>
      <c r="K457" s="1">
        <v>8.7999999999999995E-2</v>
      </c>
      <c r="L457" s="1">
        <v>38</v>
      </c>
      <c r="M457" s="1">
        <v>1</v>
      </c>
      <c r="N457" s="1" t="s">
        <v>45</v>
      </c>
      <c r="O457" s="1" t="str">
        <f t="shared" si="23"/>
        <v>Middle-Aged</v>
      </c>
    </row>
    <row r="458" spans="1:15" x14ac:dyDescent="0.3">
      <c r="A458" s="1">
        <v>5269</v>
      </c>
      <c r="B458" s="1" t="s">
        <v>9</v>
      </c>
      <c r="C458" s="2">
        <v>44386</v>
      </c>
      <c r="D458" s="2" t="str">
        <f t="shared" si="21"/>
        <v>Jul</v>
      </c>
      <c r="E458" s="2" t="str">
        <f t="shared" si="22"/>
        <v>2021</v>
      </c>
      <c r="F458" s="1">
        <v>109</v>
      </c>
      <c r="G458" s="1">
        <v>38</v>
      </c>
      <c r="H458" s="1">
        <v>18</v>
      </c>
      <c r="I458" s="1">
        <v>120</v>
      </c>
      <c r="J458" s="1">
        <v>23.1</v>
      </c>
      <c r="K458" s="1">
        <v>0.40699999999999997</v>
      </c>
      <c r="L458" s="1">
        <v>26</v>
      </c>
      <c r="M458" s="1">
        <v>0</v>
      </c>
      <c r="N458" s="1" t="s">
        <v>46</v>
      </c>
      <c r="O458" s="1" t="str">
        <f t="shared" si="23"/>
        <v>Young</v>
      </c>
    </row>
    <row r="459" spans="1:15" x14ac:dyDescent="0.3">
      <c r="A459" s="1">
        <v>4591</v>
      </c>
      <c r="B459" s="1" t="s">
        <v>9</v>
      </c>
      <c r="C459" s="2">
        <v>44535</v>
      </c>
      <c r="D459" s="2" t="str">
        <f t="shared" si="21"/>
        <v>Dec</v>
      </c>
      <c r="E459" s="2" t="str">
        <f t="shared" si="22"/>
        <v>2021</v>
      </c>
      <c r="F459" s="1">
        <v>150</v>
      </c>
      <c r="G459" s="1">
        <v>78</v>
      </c>
      <c r="H459" s="1">
        <v>29</v>
      </c>
      <c r="I459" s="1">
        <v>126</v>
      </c>
      <c r="J459" s="1">
        <v>35.200000000000003</v>
      </c>
      <c r="K459" s="1">
        <v>0.69199999999999995</v>
      </c>
      <c r="L459" s="1">
        <v>54</v>
      </c>
      <c r="M459" s="1">
        <v>1</v>
      </c>
      <c r="N459" s="1" t="s">
        <v>45</v>
      </c>
      <c r="O459" s="1" t="str">
        <f t="shared" si="23"/>
        <v>Old</v>
      </c>
    </row>
    <row r="460" spans="1:15" x14ac:dyDescent="0.3">
      <c r="A460" s="1">
        <v>3952</v>
      </c>
      <c r="B460" s="1" t="s">
        <v>9</v>
      </c>
      <c r="C460" s="2">
        <v>44394</v>
      </c>
      <c r="D460" s="2" t="str">
        <f t="shared" si="21"/>
        <v>Jul</v>
      </c>
      <c r="E460" s="2" t="str">
        <f t="shared" si="22"/>
        <v>2021</v>
      </c>
      <c r="F460" s="1">
        <v>181</v>
      </c>
      <c r="G460" s="1">
        <v>78</v>
      </c>
      <c r="H460" s="1">
        <v>42</v>
      </c>
      <c r="I460" s="1">
        <v>293</v>
      </c>
      <c r="J460" s="1">
        <v>40</v>
      </c>
      <c r="K460" s="1">
        <v>1.258</v>
      </c>
      <c r="L460" s="1">
        <v>22</v>
      </c>
      <c r="M460" s="1">
        <v>1</v>
      </c>
      <c r="N460" s="1" t="s">
        <v>45</v>
      </c>
      <c r="O460" s="1" t="str">
        <f t="shared" si="23"/>
        <v>Young</v>
      </c>
    </row>
    <row r="461" spans="1:15" x14ac:dyDescent="0.3">
      <c r="A461" s="1">
        <v>6842</v>
      </c>
      <c r="B461" s="1" t="s">
        <v>9</v>
      </c>
      <c r="C461" s="2">
        <v>44472</v>
      </c>
      <c r="D461" s="2" t="str">
        <f t="shared" si="21"/>
        <v>Oct</v>
      </c>
      <c r="E461" s="2" t="str">
        <f t="shared" si="22"/>
        <v>2021</v>
      </c>
      <c r="F461" s="1">
        <v>92</v>
      </c>
      <c r="G461" s="1">
        <v>62</v>
      </c>
      <c r="H461" s="1">
        <v>25</v>
      </c>
      <c r="I461" s="1">
        <v>41</v>
      </c>
      <c r="J461" s="1">
        <v>19.5</v>
      </c>
      <c r="K461" s="1">
        <v>0.48199999999999998</v>
      </c>
      <c r="L461" s="1">
        <v>25</v>
      </c>
      <c r="M461" s="1">
        <v>0</v>
      </c>
      <c r="N461" s="1" t="s">
        <v>46</v>
      </c>
      <c r="O461" s="1" t="str">
        <f t="shared" si="23"/>
        <v>Young</v>
      </c>
    </row>
    <row r="462" spans="1:15" x14ac:dyDescent="0.3">
      <c r="A462" s="1">
        <v>7926</v>
      </c>
      <c r="B462" s="1" t="s">
        <v>8</v>
      </c>
      <c r="C462" s="2">
        <v>44557</v>
      </c>
      <c r="D462" s="2" t="str">
        <f t="shared" si="21"/>
        <v>Dec</v>
      </c>
      <c r="E462" s="2" t="str">
        <f t="shared" si="22"/>
        <v>2021</v>
      </c>
      <c r="F462" s="1">
        <v>152</v>
      </c>
      <c r="G462" s="1">
        <v>82</v>
      </c>
      <c r="H462" s="1">
        <v>39</v>
      </c>
      <c r="I462" s="1">
        <v>272</v>
      </c>
      <c r="J462" s="1">
        <v>41.5</v>
      </c>
      <c r="K462" s="1">
        <v>0.27</v>
      </c>
      <c r="L462" s="1">
        <v>27</v>
      </c>
      <c r="M462" s="1">
        <v>0</v>
      </c>
      <c r="N462" s="1" t="s">
        <v>46</v>
      </c>
      <c r="O462" s="1" t="str">
        <f t="shared" si="23"/>
        <v>Young</v>
      </c>
    </row>
    <row r="463" spans="1:15" x14ac:dyDescent="0.3">
      <c r="A463" s="1">
        <v>8886</v>
      </c>
      <c r="B463" s="1" t="s">
        <v>9</v>
      </c>
      <c r="C463" s="2">
        <v>44737</v>
      </c>
      <c r="D463" s="2" t="str">
        <f t="shared" si="21"/>
        <v>Jun</v>
      </c>
      <c r="E463" s="2" t="str">
        <f t="shared" si="22"/>
        <v>2022</v>
      </c>
      <c r="F463" s="1">
        <v>111</v>
      </c>
      <c r="G463" s="1">
        <v>62</v>
      </c>
      <c r="H463" s="1">
        <v>13</v>
      </c>
      <c r="I463" s="1">
        <v>182</v>
      </c>
      <c r="J463" s="1">
        <v>24</v>
      </c>
      <c r="K463" s="1">
        <v>0.13800000000000001</v>
      </c>
      <c r="L463" s="1">
        <v>23</v>
      </c>
      <c r="M463" s="1">
        <v>0</v>
      </c>
      <c r="N463" s="1" t="s">
        <v>46</v>
      </c>
      <c r="O463" s="1" t="str">
        <f t="shared" si="23"/>
        <v>Young</v>
      </c>
    </row>
    <row r="464" spans="1:15" x14ac:dyDescent="0.3">
      <c r="A464" s="1">
        <v>8449</v>
      </c>
      <c r="B464" s="1" t="s">
        <v>9</v>
      </c>
      <c r="C464" s="2">
        <v>45626</v>
      </c>
      <c r="D464" s="2" t="str">
        <f t="shared" si="21"/>
        <v>Nov</v>
      </c>
      <c r="E464" s="2" t="str">
        <f t="shared" si="22"/>
        <v>2024</v>
      </c>
      <c r="F464" s="1">
        <v>106</v>
      </c>
      <c r="G464" s="1">
        <v>54</v>
      </c>
      <c r="H464" s="1">
        <v>21</v>
      </c>
      <c r="I464" s="1">
        <v>158</v>
      </c>
      <c r="J464" s="1">
        <v>30.9</v>
      </c>
      <c r="K464" s="1">
        <v>0.29199999999999998</v>
      </c>
      <c r="L464" s="1">
        <v>24</v>
      </c>
      <c r="M464" s="1">
        <v>0</v>
      </c>
      <c r="N464" s="1" t="s">
        <v>46</v>
      </c>
      <c r="O464" s="1" t="str">
        <f t="shared" si="23"/>
        <v>Young</v>
      </c>
    </row>
    <row r="465" spans="1:15" x14ac:dyDescent="0.3">
      <c r="A465" s="1">
        <v>9073</v>
      </c>
      <c r="B465" s="1" t="s">
        <v>9</v>
      </c>
      <c r="C465" s="2">
        <v>45627</v>
      </c>
      <c r="D465" s="2" t="str">
        <f t="shared" si="21"/>
        <v>Dec</v>
      </c>
      <c r="E465" s="2" t="str">
        <f t="shared" si="22"/>
        <v>2024</v>
      </c>
      <c r="F465" s="1">
        <v>174</v>
      </c>
      <c r="G465" s="1">
        <v>58</v>
      </c>
      <c r="H465" s="1">
        <v>22</v>
      </c>
      <c r="I465" s="1">
        <v>194</v>
      </c>
      <c r="J465" s="1">
        <v>32.9</v>
      </c>
      <c r="K465" s="1">
        <v>0.59299999999999997</v>
      </c>
      <c r="L465" s="1">
        <v>36</v>
      </c>
      <c r="M465" s="1">
        <v>1</v>
      </c>
      <c r="N465" s="1" t="s">
        <v>45</v>
      </c>
      <c r="O465" s="1" t="str">
        <f t="shared" si="23"/>
        <v>Middle-Aged</v>
      </c>
    </row>
    <row r="466" spans="1:15" x14ac:dyDescent="0.3">
      <c r="A466" s="1">
        <v>6187</v>
      </c>
      <c r="B466" s="1" t="s">
        <v>9</v>
      </c>
      <c r="C466" s="2">
        <v>45367</v>
      </c>
      <c r="D466" s="2" t="str">
        <f t="shared" si="21"/>
        <v>Mar</v>
      </c>
      <c r="E466" s="2" t="str">
        <f t="shared" si="22"/>
        <v>2024</v>
      </c>
      <c r="F466" s="1">
        <v>168</v>
      </c>
      <c r="G466" s="1">
        <v>88</v>
      </c>
      <c r="H466" s="1">
        <v>42</v>
      </c>
      <c r="I466" s="1">
        <v>321</v>
      </c>
      <c r="J466" s="1">
        <v>38.200000000000003</v>
      </c>
      <c r="K466" s="1">
        <v>0.78700000000000003</v>
      </c>
      <c r="L466" s="1">
        <v>40</v>
      </c>
      <c r="M466" s="1">
        <v>1</v>
      </c>
      <c r="N466" s="1" t="s">
        <v>45</v>
      </c>
      <c r="O466" s="1" t="str">
        <f t="shared" si="23"/>
        <v>Middle-Aged</v>
      </c>
    </row>
    <row r="467" spans="1:15" x14ac:dyDescent="0.3">
      <c r="A467" s="1">
        <v>6593</v>
      </c>
      <c r="B467" s="1" t="s">
        <v>9</v>
      </c>
      <c r="C467" s="2">
        <v>45590</v>
      </c>
      <c r="D467" s="2" t="str">
        <f t="shared" si="21"/>
        <v>Oct</v>
      </c>
      <c r="E467" s="2" t="str">
        <f t="shared" si="22"/>
        <v>2024</v>
      </c>
      <c r="F467" s="1">
        <v>138</v>
      </c>
      <c r="G467" s="1">
        <v>74</v>
      </c>
      <c r="H467" s="1">
        <v>26</v>
      </c>
      <c r="I467" s="1">
        <v>144</v>
      </c>
      <c r="J467" s="1">
        <v>36.1</v>
      </c>
      <c r="K467" s="1">
        <v>0.55700000000000005</v>
      </c>
      <c r="L467" s="1">
        <v>50</v>
      </c>
      <c r="M467" s="1">
        <v>1</v>
      </c>
      <c r="N467" s="1" t="s">
        <v>45</v>
      </c>
      <c r="O467" s="1" t="str">
        <f t="shared" si="23"/>
        <v>Middle-Aged</v>
      </c>
    </row>
    <row r="468" spans="1:15" x14ac:dyDescent="0.3">
      <c r="A468" s="1">
        <v>6592</v>
      </c>
      <c r="B468" s="1" t="s">
        <v>9</v>
      </c>
      <c r="C468" s="2">
        <v>44912</v>
      </c>
      <c r="D468" s="2" t="str">
        <f t="shared" si="21"/>
        <v>Dec</v>
      </c>
      <c r="E468" s="2" t="str">
        <f t="shared" si="22"/>
        <v>2022</v>
      </c>
      <c r="F468" s="1">
        <v>106</v>
      </c>
      <c r="G468" s="1">
        <v>72</v>
      </c>
      <c r="H468" s="1">
        <v>4</v>
      </c>
      <c r="I468" s="1">
        <v>9</v>
      </c>
      <c r="J468" s="1">
        <v>25.8</v>
      </c>
      <c r="K468" s="1">
        <v>0.20699999999999999</v>
      </c>
      <c r="L468" s="1">
        <v>27</v>
      </c>
      <c r="M468" s="1">
        <v>0</v>
      </c>
      <c r="N468" s="1" t="s">
        <v>46</v>
      </c>
      <c r="O468" s="1" t="str">
        <f t="shared" si="23"/>
        <v>Young</v>
      </c>
    </row>
    <row r="469" spans="1:15" x14ac:dyDescent="0.3">
      <c r="A469" s="1">
        <v>9836</v>
      </c>
      <c r="B469" s="1" t="s">
        <v>8</v>
      </c>
      <c r="C469" s="2">
        <v>44740</v>
      </c>
      <c r="D469" s="2" t="str">
        <f t="shared" si="21"/>
        <v>Jun</v>
      </c>
      <c r="E469" s="2" t="str">
        <f t="shared" si="22"/>
        <v>2022</v>
      </c>
      <c r="F469" s="1">
        <v>117</v>
      </c>
      <c r="G469" s="1">
        <v>96</v>
      </c>
      <c r="H469" s="1">
        <v>4</v>
      </c>
      <c r="I469" s="1">
        <v>9</v>
      </c>
      <c r="J469" s="1">
        <v>28.7</v>
      </c>
      <c r="K469" s="1">
        <v>0.157</v>
      </c>
      <c r="L469" s="1">
        <v>30</v>
      </c>
      <c r="M469" s="1">
        <v>0</v>
      </c>
      <c r="N469" s="1" t="s">
        <v>46</v>
      </c>
      <c r="O469" s="1" t="str">
        <f t="shared" si="23"/>
        <v>Young</v>
      </c>
    </row>
    <row r="470" spans="1:15" x14ac:dyDescent="0.3">
      <c r="A470" s="1">
        <v>7446</v>
      </c>
      <c r="B470" s="1" t="s">
        <v>8</v>
      </c>
      <c r="C470" s="2">
        <v>44975</v>
      </c>
      <c r="D470" s="2" t="str">
        <f t="shared" si="21"/>
        <v>Feb</v>
      </c>
      <c r="E470" s="2" t="str">
        <f t="shared" si="22"/>
        <v>2023</v>
      </c>
      <c r="F470" s="1">
        <v>68</v>
      </c>
      <c r="G470" s="1">
        <v>62</v>
      </c>
      <c r="H470" s="1">
        <v>13</v>
      </c>
      <c r="I470" s="1">
        <v>15</v>
      </c>
      <c r="J470" s="1">
        <v>20.100000000000001</v>
      </c>
      <c r="K470" s="1">
        <v>0.25700000000000001</v>
      </c>
      <c r="L470" s="1">
        <v>23</v>
      </c>
      <c r="M470" s="1">
        <v>0</v>
      </c>
      <c r="N470" s="1" t="s">
        <v>46</v>
      </c>
      <c r="O470" s="1" t="str">
        <f t="shared" si="23"/>
        <v>Young</v>
      </c>
    </row>
    <row r="471" spans="1:15" x14ac:dyDescent="0.3">
      <c r="A471" s="1">
        <v>7569</v>
      </c>
      <c r="B471" s="1" t="s">
        <v>8</v>
      </c>
      <c r="C471" s="2">
        <v>44881</v>
      </c>
      <c r="D471" s="2" t="str">
        <f t="shared" si="21"/>
        <v>Nov</v>
      </c>
      <c r="E471" s="2" t="str">
        <f t="shared" si="22"/>
        <v>2022</v>
      </c>
      <c r="F471" s="1">
        <v>112</v>
      </c>
      <c r="G471" s="1">
        <v>86</v>
      </c>
      <c r="H471" s="1">
        <v>42</v>
      </c>
      <c r="I471" s="1">
        <v>160</v>
      </c>
      <c r="J471" s="1">
        <v>38.4</v>
      </c>
      <c r="K471" s="1">
        <v>0.246</v>
      </c>
      <c r="L471" s="1">
        <v>28</v>
      </c>
      <c r="M471" s="1">
        <v>0</v>
      </c>
      <c r="N471" s="1" t="s">
        <v>46</v>
      </c>
      <c r="O471" s="1" t="str">
        <f t="shared" si="23"/>
        <v>Young</v>
      </c>
    </row>
    <row r="472" spans="1:15" x14ac:dyDescent="0.3">
      <c r="A472" s="1">
        <v>3577</v>
      </c>
      <c r="B472" s="1" t="s">
        <v>8</v>
      </c>
      <c r="C472" s="2">
        <v>45106</v>
      </c>
      <c r="D472" s="2" t="str">
        <f t="shared" si="21"/>
        <v>Jun</v>
      </c>
      <c r="E472" s="2" t="str">
        <f t="shared" si="22"/>
        <v>2023</v>
      </c>
      <c r="F472" s="1">
        <v>183</v>
      </c>
      <c r="G472" s="1">
        <v>94</v>
      </c>
      <c r="H472" s="1">
        <v>4</v>
      </c>
      <c r="I472" s="1">
        <v>9</v>
      </c>
      <c r="J472" s="1">
        <v>40.799999999999997</v>
      </c>
      <c r="K472" s="1">
        <v>1.4610000000000001</v>
      </c>
      <c r="L472" s="1">
        <v>45</v>
      </c>
      <c r="M472" s="1">
        <v>0</v>
      </c>
      <c r="N472" s="1" t="s">
        <v>46</v>
      </c>
      <c r="O472" s="1" t="str">
        <f t="shared" si="23"/>
        <v>Middle-Aged</v>
      </c>
    </row>
    <row r="473" spans="1:15" x14ac:dyDescent="0.3">
      <c r="A473" s="1">
        <v>2905</v>
      </c>
      <c r="B473" s="1" t="s">
        <v>8</v>
      </c>
      <c r="C473" s="2">
        <v>44349</v>
      </c>
      <c r="D473" s="2" t="str">
        <f t="shared" si="21"/>
        <v>Jun</v>
      </c>
      <c r="E473" s="2" t="str">
        <f t="shared" si="22"/>
        <v>2021</v>
      </c>
      <c r="F473" s="1">
        <v>94</v>
      </c>
      <c r="G473" s="1">
        <v>70</v>
      </c>
      <c r="H473" s="1">
        <v>27</v>
      </c>
      <c r="I473" s="1">
        <v>115</v>
      </c>
      <c r="J473" s="1">
        <v>43.5</v>
      </c>
      <c r="K473" s="1">
        <v>0.34699999999999998</v>
      </c>
      <c r="L473" s="1">
        <v>21</v>
      </c>
      <c r="M473" s="1">
        <v>0</v>
      </c>
      <c r="N473" s="1" t="s">
        <v>46</v>
      </c>
      <c r="O473" s="1" t="str">
        <f t="shared" si="23"/>
        <v>Young</v>
      </c>
    </row>
    <row r="474" spans="1:15" x14ac:dyDescent="0.3">
      <c r="A474" s="1">
        <v>8066</v>
      </c>
      <c r="B474" s="1" t="s">
        <v>8</v>
      </c>
      <c r="C474" s="2">
        <v>45283</v>
      </c>
      <c r="D474" s="2" t="str">
        <f t="shared" si="21"/>
        <v>Dec</v>
      </c>
      <c r="E474" s="2" t="str">
        <f t="shared" si="22"/>
        <v>2023</v>
      </c>
      <c r="F474" s="1">
        <v>108</v>
      </c>
      <c r="G474" s="1">
        <v>64</v>
      </c>
      <c r="H474" s="1">
        <v>4</v>
      </c>
      <c r="I474" s="1">
        <v>9</v>
      </c>
      <c r="J474" s="1">
        <v>30.8</v>
      </c>
      <c r="K474" s="1">
        <v>0.158</v>
      </c>
      <c r="L474" s="1">
        <v>21</v>
      </c>
      <c r="M474" s="1">
        <v>0</v>
      </c>
      <c r="N474" s="1" t="s">
        <v>46</v>
      </c>
      <c r="O474" s="1" t="str">
        <f t="shared" si="23"/>
        <v>Young</v>
      </c>
    </row>
    <row r="475" spans="1:15" x14ac:dyDescent="0.3">
      <c r="A475" s="1">
        <v>9078</v>
      </c>
      <c r="B475" s="1" t="s">
        <v>8</v>
      </c>
      <c r="C475" s="2">
        <v>44618</v>
      </c>
      <c r="D475" s="2" t="str">
        <f t="shared" si="21"/>
        <v>Feb</v>
      </c>
      <c r="E475" s="2" t="str">
        <f t="shared" si="22"/>
        <v>2022</v>
      </c>
      <c r="F475" s="1">
        <v>90</v>
      </c>
      <c r="G475" s="1">
        <v>88</v>
      </c>
      <c r="H475" s="1">
        <v>47</v>
      </c>
      <c r="I475" s="1">
        <v>54</v>
      </c>
      <c r="J475" s="1">
        <v>37.700000000000003</v>
      </c>
      <c r="K475" s="1">
        <v>0.36199999999999999</v>
      </c>
      <c r="L475" s="1">
        <v>29</v>
      </c>
      <c r="M475" s="1">
        <v>0</v>
      </c>
      <c r="N475" s="1" t="s">
        <v>46</v>
      </c>
      <c r="O475" s="1" t="str">
        <f t="shared" si="23"/>
        <v>Young</v>
      </c>
    </row>
    <row r="476" spans="1:15" x14ac:dyDescent="0.3">
      <c r="A476" s="1">
        <v>3511</v>
      </c>
      <c r="B476" s="1" t="s">
        <v>8</v>
      </c>
      <c r="C476" s="2">
        <v>45229</v>
      </c>
      <c r="D476" s="2" t="str">
        <f t="shared" si="21"/>
        <v>Oct</v>
      </c>
      <c r="E476" s="2" t="str">
        <f t="shared" si="22"/>
        <v>2023</v>
      </c>
      <c r="F476" s="1">
        <v>125</v>
      </c>
      <c r="G476" s="1">
        <v>68</v>
      </c>
      <c r="H476" s="1">
        <v>4</v>
      </c>
      <c r="I476" s="1">
        <v>9</v>
      </c>
      <c r="J476" s="1">
        <v>24.7</v>
      </c>
      <c r="K476" s="1">
        <v>0.20599999999999999</v>
      </c>
      <c r="L476" s="1">
        <v>21</v>
      </c>
      <c r="M476" s="1">
        <v>0</v>
      </c>
      <c r="N476" s="1" t="s">
        <v>46</v>
      </c>
      <c r="O476" s="1" t="str">
        <f t="shared" si="23"/>
        <v>Young</v>
      </c>
    </row>
    <row r="477" spans="1:15" x14ac:dyDescent="0.3">
      <c r="A477" s="1">
        <v>4692</v>
      </c>
      <c r="B477" s="1" t="s">
        <v>8</v>
      </c>
      <c r="C477" s="2">
        <v>44919</v>
      </c>
      <c r="D477" s="2" t="str">
        <f t="shared" si="21"/>
        <v>Dec</v>
      </c>
      <c r="E477" s="2" t="str">
        <f t="shared" si="22"/>
        <v>2022</v>
      </c>
      <c r="F477" s="1">
        <v>132</v>
      </c>
      <c r="G477" s="1">
        <v>78</v>
      </c>
      <c r="H477" s="1">
        <v>4</v>
      </c>
      <c r="I477" s="1">
        <v>9</v>
      </c>
      <c r="J477" s="1">
        <v>32.4</v>
      </c>
      <c r="K477" s="1">
        <v>0.39300000000000002</v>
      </c>
      <c r="L477" s="1">
        <v>21</v>
      </c>
      <c r="M477" s="1">
        <v>0</v>
      </c>
      <c r="N477" s="1" t="s">
        <v>46</v>
      </c>
      <c r="O477" s="1" t="str">
        <f t="shared" si="23"/>
        <v>Young</v>
      </c>
    </row>
    <row r="478" spans="1:15" x14ac:dyDescent="0.3">
      <c r="A478" s="1">
        <v>3238</v>
      </c>
      <c r="B478" s="1" t="s">
        <v>9</v>
      </c>
      <c r="C478" s="2">
        <v>44604</v>
      </c>
      <c r="D478" s="2" t="str">
        <f t="shared" si="21"/>
        <v>Feb</v>
      </c>
      <c r="E478" s="2" t="str">
        <f t="shared" si="22"/>
        <v>2022</v>
      </c>
      <c r="F478" s="1">
        <v>128</v>
      </c>
      <c r="G478" s="1">
        <v>80</v>
      </c>
      <c r="H478" s="1">
        <v>4</v>
      </c>
      <c r="I478" s="1">
        <v>9</v>
      </c>
      <c r="J478" s="1">
        <v>34.6</v>
      </c>
      <c r="K478" s="1">
        <v>0.14399999999999999</v>
      </c>
      <c r="L478" s="1">
        <v>45</v>
      </c>
      <c r="M478" s="1">
        <v>0</v>
      </c>
      <c r="N478" s="1" t="s">
        <v>46</v>
      </c>
      <c r="O478" s="1" t="str">
        <f t="shared" si="23"/>
        <v>Middle-Aged</v>
      </c>
    </row>
    <row r="479" spans="1:15" x14ac:dyDescent="0.3">
      <c r="A479" s="1">
        <v>6319</v>
      </c>
      <c r="B479" s="1" t="s">
        <v>9</v>
      </c>
      <c r="C479" s="2">
        <v>45421</v>
      </c>
      <c r="D479" s="2" t="str">
        <f t="shared" si="21"/>
        <v>May</v>
      </c>
      <c r="E479" s="2" t="str">
        <f t="shared" si="22"/>
        <v>2024</v>
      </c>
      <c r="F479" s="1">
        <v>114</v>
      </c>
      <c r="G479" s="1">
        <v>64</v>
      </c>
      <c r="H479" s="1">
        <v>4</v>
      </c>
      <c r="I479" s="1">
        <v>9</v>
      </c>
      <c r="J479" s="1">
        <v>27.4</v>
      </c>
      <c r="K479" s="1">
        <v>0.73199999999999998</v>
      </c>
      <c r="L479" s="1">
        <v>34</v>
      </c>
      <c r="M479" s="1">
        <v>1</v>
      </c>
      <c r="N479" s="1" t="s">
        <v>45</v>
      </c>
      <c r="O479" s="1" t="str">
        <f t="shared" si="23"/>
        <v>Young</v>
      </c>
    </row>
    <row r="480" spans="1:15" x14ac:dyDescent="0.3">
      <c r="A480" s="1">
        <v>5433</v>
      </c>
      <c r="B480" s="1" t="s">
        <v>8</v>
      </c>
      <c r="C480" s="2">
        <v>44363</v>
      </c>
      <c r="D480" s="2" t="str">
        <f t="shared" si="21"/>
        <v>Jun</v>
      </c>
      <c r="E480" s="2" t="str">
        <f t="shared" si="22"/>
        <v>2021</v>
      </c>
      <c r="F480" s="1">
        <v>102</v>
      </c>
      <c r="G480" s="1">
        <v>78</v>
      </c>
      <c r="H480" s="1">
        <v>40</v>
      </c>
      <c r="I480" s="1">
        <v>90</v>
      </c>
      <c r="J480" s="1">
        <v>34.5</v>
      </c>
      <c r="K480" s="1">
        <v>0.23799999999999999</v>
      </c>
      <c r="L480" s="1">
        <v>24</v>
      </c>
      <c r="M480" s="1">
        <v>0</v>
      </c>
      <c r="N480" s="1" t="s">
        <v>46</v>
      </c>
      <c r="O480" s="1" t="str">
        <f t="shared" si="23"/>
        <v>Young</v>
      </c>
    </row>
    <row r="481" spans="1:15" x14ac:dyDescent="0.3">
      <c r="A481" s="1">
        <v>8542</v>
      </c>
      <c r="B481" s="1" t="s">
        <v>8</v>
      </c>
      <c r="C481" s="2">
        <v>45455</v>
      </c>
      <c r="D481" s="2" t="str">
        <f t="shared" si="21"/>
        <v>Jun</v>
      </c>
      <c r="E481" s="2" t="str">
        <f t="shared" si="22"/>
        <v>2024</v>
      </c>
      <c r="F481" s="1">
        <v>111</v>
      </c>
      <c r="G481" s="1">
        <v>60</v>
      </c>
      <c r="H481" s="1">
        <v>4</v>
      </c>
      <c r="I481" s="1">
        <v>9</v>
      </c>
      <c r="J481" s="1">
        <v>26.2</v>
      </c>
      <c r="K481" s="1">
        <v>0.34300000000000003</v>
      </c>
      <c r="L481" s="1">
        <v>23</v>
      </c>
      <c r="M481" s="1">
        <v>0</v>
      </c>
      <c r="N481" s="1" t="s">
        <v>46</v>
      </c>
      <c r="O481" s="1" t="str">
        <f t="shared" si="23"/>
        <v>Young</v>
      </c>
    </row>
    <row r="482" spans="1:15" x14ac:dyDescent="0.3">
      <c r="A482" s="1">
        <v>1451</v>
      </c>
      <c r="B482" s="1" t="s">
        <v>9</v>
      </c>
      <c r="C482" s="2">
        <v>44693</v>
      </c>
      <c r="D482" s="2" t="str">
        <f t="shared" si="21"/>
        <v>May</v>
      </c>
      <c r="E482" s="2" t="str">
        <f t="shared" si="22"/>
        <v>2022</v>
      </c>
      <c r="F482" s="1">
        <v>128</v>
      </c>
      <c r="G482" s="1">
        <v>82</v>
      </c>
      <c r="H482" s="1">
        <v>17</v>
      </c>
      <c r="I482" s="1">
        <v>183</v>
      </c>
      <c r="J482" s="1">
        <v>27.5</v>
      </c>
      <c r="K482" s="1">
        <v>0.115</v>
      </c>
      <c r="L482" s="1">
        <v>22</v>
      </c>
      <c r="M482" s="1">
        <v>0</v>
      </c>
      <c r="N482" s="1" t="s">
        <v>46</v>
      </c>
      <c r="O482" s="1" t="str">
        <f t="shared" si="23"/>
        <v>Young</v>
      </c>
    </row>
    <row r="483" spans="1:15" x14ac:dyDescent="0.3">
      <c r="A483" s="1">
        <v>5469</v>
      </c>
      <c r="B483" s="1" t="s">
        <v>8</v>
      </c>
      <c r="C483" s="2">
        <v>45575</v>
      </c>
      <c r="D483" s="2" t="str">
        <f t="shared" si="21"/>
        <v>Oct</v>
      </c>
      <c r="E483" s="2" t="str">
        <f t="shared" si="22"/>
        <v>2024</v>
      </c>
      <c r="F483" s="1">
        <v>92</v>
      </c>
      <c r="G483" s="1">
        <v>62</v>
      </c>
      <c r="H483" s="1">
        <v>4</v>
      </c>
      <c r="I483" s="1">
        <v>9</v>
      </c>
      <c r="J483" s="1">
        <v>25.9</v>
      </c>
      <c r="K483" s="1">
        <v>0.16700000000000001</v>
      </c>
      <c r="L483" s="1">
        <v>31</v>
      </c>
      <c r="M483" s="1">
        <v>0</v>
      </c>
      <c r="N483" s="1" t="s">
        <v>46</v>
      </c>
      <c r="O483" s="1" t="str">
        <f t="shared" si="23"/>
        <v>Young</v>
      </c>
    </row>
    <row r="484" spans="1:15" x14ac:dyDescent="0.3">
      <c r="A484" s="1">
        <v>2515</v>
      </c>
      <c r="B484" s="1" t="s">
        <v>9</v>
      </c>
      <c r="C484" s="2">
        <v>45058</v>
      </c>
      <c r="D484" s="2" t="str">
        <f t="shared" si="21"/>
        <v>May</v>
      </c>
      <c r="E484" s="2" t="str">
        <f t="shared" si="22"/>
        <v>2023</v>
      </c>
      <c r="F484" s="1">
        <v>104</v>
      </c>
      <c r="G484" s="1">
        <v>72</v>
      </c>
      <c r="H484" s="1">
        <v>4</v>
      </c>
      <c r="I484" s="1">
        <v>9</v>
      </c>
      <c r="J484" s="1">
        <v>31.2</v>
      </c>
      <c r="K484" s="1">
        <v>0.46500000000000002</v>
      </c>
      <c r="L484" s="1">
        <v>38</v>
      </c>
      <c r="M484" s="1">
        <v>1</v>
      </c>
      <c r="N484" s="1" t="s">
        <v>45</v>
      </c>
      <c r="O484" s="1" t="str">
        <f t="shared" si="23"/>
        <v>Middle-Aged</v>
      </c>
    </row>
    <row r="485" spans="1:15" x14ac:dyDescent="0.3">
      <c r="A485" s="1">
        <v>9460</v>
      </c>
      <c r="B485" s="1" t="s">
        <v>9</v>
      </c>
      <c r="C485" s="2">
        <v>44723</v>
      </c>
      <c r="D485" s="2" t="str">
        <f t="shared" si="21"/>
        <v>Jun</v>
      </c>
      <c r="E485" s="2" t="str">
        <f t="shared" si="22"/>
        <v>2022</v>
      </c>
      <c r="F485" s="1">
        <v>104</v>
      </c>
      <c r="G485" s="1">
        <v>74</v>
      </c>
      <c r="H485" s="1">
        <v>4</v>
      </c>
      <c r="I485" s="1">
        <v>9</v>
      </c>
      <c r="J485" s="1">
        <v>28.8</v>
      </c>
      <c r="K485" s="1">
        <v>0.153</v>
      </c>
      <c r="L485" s="1">
        <v>48</v>
      </c>
      <c r="M485" s="1">
        <v>0</v>
      </c>
      <c r="N485" s="1" t="s">
        <v>46</v>
      </c>
      <c r="O485" s="1" t="str">
        <f t="shared" si="23"/>
        <v>Middle-Aged</v>
      </c>
    </row>
    <row r="486" spans="1:15" x14ac:dyDescent="0.3">
      <c r="A486" s="1">
        <v>5667</v>
      </c>
      <c r="B486" s="1" t="s">
        <v>8</v>
      </c>
      <c r="C486" s="2">
        <v>45305</v>
      </c>
      <c r="D486" s="2" t="str">
        <f t="shared" si="21"/>
        <v>Jan</v>
      </c>
      <c r="E486" s="2" t="str">
        <f t="shared" si="22"/>
        <v>2024</v>
      </c>
      <c r="F486" s="1">
        <v>94</v>
      </c>
      <c r="G486" s="1">
        <v>76</v>
      </c>
      <c r="H486" s="1">
        <v>18</v>
      </c>
      <c r="I486" s="1">
        <v>66</v>
      </c>
      <c r="J486" s="1">
        <v>31.6</v>
      </c>
      <c r="K486" s="1">
        <v>0.64900000000000002</v>
      </c>
      <c r="L486" s="1">
        <v>23</v>
      </c>
      <c r="M486" s="1">
        <v>0</v>
      </c>
      <c r="N486" s="1" t="s">
        <v>46</v>
      </c>
      <c r="O486" s="1" t="str">
        <f t="shared" si="23"/>
        <v>Young</v>
      </c>
    </row>
    <row r="487" spans="1:15" x14ac:dyDescent="0.3">
      <c r="A487" s="1">
        <v>8936</v>
      </c>
      <c r="B487" s="1" t="s">
        <v>9</v>
      </c>
      <c r="C487" s="2">
        <v>44741</v>
      </c>
      <c r="D487" s="2" t="str">
        <f t="shared" si="21"/>
        <v>Jun</v>
      </c>
      <c r="E487" s="2" t="str">
        <f t="shared" si="22"/>
        <v>2022</v>
      </c>
      <c r="F487" s="1">
        <v>97</v>
      </c>
      <c r="G487" s="1">
        <v>76</v>
      </c>
      <c r="H487" s="1">
        <v>32</v>
      </c>
      <c r="I487" s="1">
        <v>91</v>
      </c>
      <c r="J487" s="1">
        <v>40.9</v>
      </c>
      <c r="K487" s="1">
        <v>0.871</v>
      </c>
      <c r="L487" s="1">
        <v>32</v>
      </c>
      <c r="M487" s="1">
        <v>1</v>
      </c>
      <c r="N487" s="1" t="s">
        <v>45</v>
      </c>
      <c r="O487" s="1" t="str">
        <f t="shared" si="23"/>
        <v>Young</v>
      </c>
    </row>
    <row r="488" spans="1:15" x14ac:dyDescent="0.3">
      <c r="A488" s="1">
        <v>7249</v>
      </c>
      <c r="B488" s="1" t="s">
        <v>9</v>
      </c>
      <c r="C488" s="2">
        <v>44588</v>
      </c>
      <c r="D488" s="2" t="str">
        <f t="shared" si="21"/>
        <v>Jan</v>
      </c>
      <c r="E488" s="2" t="str">
        <f t="shared" si="22"/>
        <v>2022</v>
      </c>
      <c r="F488" s="1">
        <v>100</v>
      </c>
      <c r="G488" s="1">
        <v>74</v>
      </c>
      <c r="H488" s="1">
        <v>12</v>
      </c>
      <c r="I488" s="1">
        <v>46</v>
      </c>
      <c r="J488" s="1">
        <v>19.5</v>
      </c>
      <c r="K488" s="1">
        <v>0.14899999999999999</v>
      </c>
      <c r="L488" s="1">
        <v>28</v>
      </c>
      <c r="M488" s="1">
        <v>0</v>
      </c>
      <c r="N488" s="1" t="s">
        <v>46</v>
      </c>
      <c r="O488" s="1" t="str">
        <f t="shared" si="23"/>
        <v>Young</v>
      </c>
    </row>
    <row r="489" spans="1:15" x14ac:dyDescent="0.3">
      <c r="A489" s="1">
        <v>3072</v>
      </c>
      <c r="B489" s="1" t="s">
        <v>8</v>
      </c>
      <c r="C489" s="2">
        <v>45444</v>
      </c>
      <c r="D489" s="2" t="str">
        <f t="shared" si="21"/>
        <v>Jun</v>
      </c>
      <c r="E489" s="2" t="str">
        <f t="shared" si="22"/>
        <v>2024</v>
      </c>
      <c r="F489" s="1">
        <v>102</v>
      </c>
      <c r="G489" s="1">
        <v>86</v>
      </c>
      <c r="H489" s="1">
        <v>17</v>
      </c>
      <c r="I489" s="1">
        <v>105</v>
      </c>
      <c r="J489" s="1">
        <v>29.3</v>
      </c>
      <c r="K489" s="1">
        <v>0.69499999999999995</v>
      </c>
      <c r="L489" s="1">
        <v>27</v>
      </c>
      <c r="M489" s="1">
        <v>0</v>
      </c>
      <c r="N489" s="1" t="s">
        <v>46</v>
      </c>
      <c r="O489" s="1" t="str">
        <f t="shared" si="23"/>
        <v>Young</v>
      </c>
    </row>
    <row r="490" spans="1:15" x14ac:dyDescent="0.3">
      <c r="A490" s="1">
        <v>2489</v>
      </c>
      <c r="B490" s="1" t="s">
        <v>8</v>
      </c>
      <c r="C490" s="2">
        <v>44199</v>
      </c>
      <c r="D490" s="2" t="str">
        <f t="shared" si="21"/>
        <v>Jan</v>
      </c>
      <c r="E490" s="2" t="str">
        <f t="shared" si="22"/>
        <v>2021</v>
      </c>
      <c r="F490" s="1">
        <v>128</v>
      </c>
      <c r="G490" s="1">
        <v>70</v>
      </c>
      <c r="H490" s="1">
        <v>4</v>
      </c>
      <c r="I490" s="1">
        <v>9</v>
      </c>
      <c r="J490" s="1">
        <v>34.299999999999997</v>
      </c>
      <c r="K490" s="1">
        <v>0.30299999999999999</v>
      </c>
      <c r="L490" s="1">
        <v>24</v>
      </c>
      <c r="M490" s="1">
        <v>0</v>
      </c>
      <c r="N490" s="1" t="s">
        <v>46</v>
      </c>
      <c r="O490" s="1" t="str">
        <f t="shared" si="23"/>
        <v>Young</v>
      </c>
    </row>
    <row r="491" spans="1:15" x14ac:dyDescent="0.3">
      <c r="A491" s="1">
        <v>1027</v>
      </c>
      <c r="B491" s="1" t="s">
        <v>8</v>
      </c>
      <c r="C491" s="2">
        <v>44302</v>
      </c>
      <c r="D491" s="2" t="str">
        <f t="shared" si="21"/>
        <v>Apr</v>
      </c>
      <c r="E491" s="2" t="str">
        <f t="shared" si="22"/>
        <v>2021</v>
      </c>
      <c r="F491" s="1">
        <v>147</v>
      </c>
      <c r="G491" s="1">
        <v>80</v>
      </c>
      <c r="H491" s="1">
        <v>4</v>
      </c>
      <c r="I491" s="1">
        <v>9</v>
      </c>
      <c r="J491" s="1">
        <v>29.5</v>
      </c>
      <c r="K491" s="1">
        <v>0.17799999999999999</v>
      </c>
      <c r="L491" s="1">
        <v>50</v>
      </c>
      <c r="M491" s="1">
        <v>1</v>
      </c>
      <c r="N491" s="1" t="s">
        <v>45</v>
      </c>
      <c r="O491" s="1" t="str">
        <f t="shared" si="23"/>
        <v>Middle-Aged</v>
      </c>
    </row>
    <row r="492" spans="1:15" x14ac:dyDescent="0.3">
      <c r="A492" s="1">
        <v>9216</v>
      </c>
      <c r="B492" s="1" t="s">
        <v>9</v>
      </c>
      <c r="C492" s="2">
        <v>45184</v>
      </c>
      <c r="D492" s="2" t="str">
        <f t="shared" si="21"/>
        <v>Sep</v>
      </c>
      <c r="E492" s="2" t="str">
        <f t="shared" si="22"/>
        <v>2023</v>
      </c>
      <c r="F492" s="1">
        <v>103</v>
      </c>
      <c r="G492" s="1">
        <v>72</v>
      </c>
      <c r="H492" s="1">
        <v>30</v>
      </c>
      <c r="I492" s="1">
        <v>152</v>
      </c>
      <c r="J492" s="1">
        <v>27.6</v>
      </c>
      <c r="K492" s="1">
        <v>0.73</v>
      </c>
      <c r="L492" s="1">
        <v>27</v>
      </c>
      <c r="M492" s="1">
        <v>0</v>
      </c>
      <c r="N492" s="1" t="s">
        <v>46</v>
      </c>
      <c r="O492" s="1" t="str">
        <f t="shared" si="23"/>
        <v>Young</v>
      </c>
    </row>
    <row r="493" spans="1:15" x14ac:dyDescent="0.3">
      <c r="A493" s="1">
        <v>4667</v>
      </c>
      <c r="B493" s="1" t="s">
        <v>8</v>
      </c>
      <c r="C493" s="2">
        <v>44678</v>
      </c>
      <c r="D493" s="2" t="str">
        <f t="shared" si="21"/>
        <v>Apr</v>
      </c>
      <c r="E493" s="2" t="str">
        <f t="shared" si="22"/>
        <v>2022</v>
      </c>
      <c r="F493" s="1">
        <v>157</v>
      </c>
      <c r="G493" s="1">
        <v>74</v>
      </c>
      <c r="H493" s="1">
        <v>35</v>
      </c>
      <c r="I493" s="1">
        <v>440</v>
      </c>
      <c r="J493" s="1">
        <v>39.4</v>
      </c>
      <c r="K493" s="1">
        <v>0.13400000000000001</v>
      </c>
      <c r="L493" s="1">
        <v>30</v>
      </c>
      <c r="M493" s="1">
        <v>0</v>
      </c>
      <c r="N493" s="1" t="s">
        <v>46</v>
      </c>
      <c r="O493" s="1" t="str">
        <f t="shared" si="23"/>
        <v>Young</v>
      </c>
    </row>
    <row r="494" spans="1:15" x14ac:dyDescent="0.3">
      <c r="A494" s="1">
        <v>7961</v>
      </c>
      <c r="B494" s="1" t="s">
        <v>9</v>
      </c>
      <c r="C494" s="2">
        <v>45142</v>
      </c>
      <c r="D494" s="2" t="str">
        <f t="shared" si="21"/>
        <v>Aug</v>
      </c>
      <c r="E494" s="2" t="str">
        <f t="shared" si="22"/>
        <v>2023</v>
      </c>
      <c r="F494" s="1">
        <v>167</v>
      </c>
      <c r="G494" s="1">
        <v>74</v>
      </c>
      <c r="H494" s="1">
        <v>17</v>
      </c>
      <c r="I494" s="1">
        <v>144</v>
      </c>
      <c r="J494" s="1">
        <v>23.4</v>
      </c>
      <c r="K494" s="1">
        <v>0.44700000000000001</v>
      </c>
      <c r="L494" s="1">
        <v>33</v>
      </c>
      <c r="M494" s="1">
        <v>1</v>
      </c>
      <c r="N494" s="1" t="s">
        <v>45</v>
      </c>
      <c r="O494" s="1" t="str">
        <f t="shared" si="23"/>
        <v>Young</v>
      </c>
    </row>
    <row r="495" spans="1:15" x14ac:dyDescent="0.3">
      <c r="A495" s="1">
        <v>9000</v>
      </c>
      <c r="B495" s="1" t="s">
        <v>8</v>
      </c>
      <c r="C495" s="2">
        <v>45121</v>
      </c>
      <c r="D495" s="2" t="str">
        <f t="shared" si="21"/>
        <v>Jul</v>
      </c>
      <c r="E495" s="2" t="str">
        <f t="shared" si="22"/>
        <v>2023</v>
      </c>
      <c r="F495" s="1">
        <v>179</v>
      </c>
      <c r="G495" s="1">
        <v>50</v>
      </c>
      <c r="H495" s="1">
        <v>36</v>
      </c>
      <c r="I495" s="1">
        <v>159</v>
      </c>
      <c r="J495" s="1">
        <v>37.799999999999997</v>
      </c>
      <c r="K495" s="1">
        <v>0.45500000000000002</v>
      </c>
      <c r="L495" s="1">
        <v>22</v>
      </c>
      <c r="M495" s="1">
        <v>1</v>
      </c>
      <c r="N495" s="1" t="s">
        <v>45</v>
      </c>
      <c r="O495" s="1" t="str">
        <f t="shared" si="23"/>
        <v>Young</v>
      </c>
    </row>
    <row r="496" spans="1:15" x14ac:dyDescent="0.3">
      <c r="A496" s="1">
        <v>1387</v>
      </c>
      <c r="B496" s="1" t="s">
        <v>9</v>
      </c>
      <c r="C496" s="2">
        <v>44745</v>
      </c>
      <c r="D496" s="2" t="str">
        <f t="shared" si="21"/>
        <v>Jul</v>
      </c>
      <c r="E496" s="2" t="str">
        <f t="shared" si="22"/>
        <v>2022</v>
      </c>
      <c r="F496" s="1">
        <v>136</v>
      </c>
      <c r="G496" s="1">
        <v>84</v>
      </c>
      <c r="H496" s="1">
        <v>35</v>
      </c>
      <c r="I496" s="1">
        <v>130</v>
      </c>
      <c r="J496" s="1">
        <v>28.3</v>
      </c>
      <c r="K496" s="1">
        <v>0.26</v>
      </c>
      <c r="L496" s="1">
        <v>42</v>
      </c>
      <c r="M496" s="1">
        <v>1</v>
      </c>
      <c r="N496" s="1" t="s">
        <v>45</v>
      </c>
      <c r="O496" s="1" t="str">
        <f t="shared" si="23"/>
        <v>Middle-Aged</v>
      </c>
    </row>
    <row r="497" spans="1:15" x14ac:dyDescent="0.3">
      <c r="A497" s="1">
        <v>2671</v>
      </c>
      <c r="B497" s="1" t="s">
        <v>9</v>
      </c>
      <c r="C497" s="2">
        <v>44954</v>
      </c>
      <c r="D497" s="2" t="str">
        <f t="shared" si="21"/>
        <v>Jan</v>
      </c>
      <c r="E497" s="2" t="str">
        <f t="shared" si="22"/>
        <v>2023</v>
      </c>
      <c r="F497" s="1">
        <v>91</v>
      </c>
      <c r="G497" s="1">
        <v>54</v>
      </c>
      <c r="H497" s="1">
        <v>25</v>
      </c>
      <c r="I497" s="1">
        <v>100</v>
      </c>
      <c r="J497" s="1">
        <v>25.2</v>
      </c>
      <c r="K497" s="1">
        <v>0.23400000000000001</v>
      </c>
      <c r="L497" s="1">
        <v>23</v>
      </c>
      <c r="M497" s="1">
        <v>0</v>
      </c>
      <c r="N497" s="1" t="s">
        <v>46</v>
      </c>
      <c r="O497" s="1" t="str">
        <f t="shared" si="23"/>
        <v>Young</v>
      </c>
    </row>
    <row r="498" spans="1:15" x14ac:dyDescent="0.3">
      <c r="A498" s="1">
        <v>7116</v>
      </c>
      <c r="B498" s="1" t="s">
        <v>9</v>
      </c>
      <c r="C498" s="2">
        <v>44639</v>
      </c>
      <c r="D498" s="2" t="str">
        <f t="shared" si="21"/>
        <v>Mar</v>
      </c>
      <c r="E498" s="2" t="str">
        <f t="shared" si="22"/>
        <v>2022</v>
      </c>
      <c r="F498" s="1">
        <v>117</v>
      </c>
      <c r="G498" s="1">
        <v>60</v>
      </c>
      <c r="H498" s="1">
        <v>23</v>
      </c>
      <c r="I498" s="1">
        <v>106</v>
      </c>
      <c r="J498" s="1">
        <v>33.799999999999997</v>
      </c>
      <c r="K498" s="1">
        <v>0.46600000000000003</v>
      </c>
      <c r="L498" s="1">
        <v>27</v>
      </c>
      <c r="M498" s="1">
        <v>0</v>
      </c>
      <c r="N498" s="1" t="s">
        <v>46</v>
      </c>
      <c r="O498" s="1" t="str">
        <f t="shared" si="23"/>
        <v>Young</v>
      </c>
    </row>
    <row r="499" spans="1:15" x14ac:dyDescent="0.3">
      <c r="A499" s="1">
        <v>4462</v>
      </c>
      <c r="B499" s="1" t="s">
        <v>9</v>
      </c>
      <c r="C499" s="2">
        <v>45015</v>
      </c>
      <c r="D499" s="2" t="str">
        <f t="shared" si="21"/>
        <v>Mar</v>
      </c>
      <c r="E499" s="2" t="str">
        <f t="shared" si="22"/>
        <v>2023</v>
      </c>
      <c r="F499" s="1">
        <v>123</v>
      </c>
      <c r="G499" s="1">
        <v>74</v>
      </c>
      <c r="H499" s="1">
        <v>40</v>
      </c>
      <c r="I499" s="1">
        <v>77</v>
      </c>
      <c r="J499" s="1">
        <v>34.1</v>
      </c>
      <c r="K499" s="1">
        <v>0.26900000000000002</v>
      </c>
      <c r="L499" s="1">
        <v>28</v>
      </c>
      <c r="M499" s="1">
        <v>0</v>
      </c>
      <c r="N499" s="1" t="s">
        <v>46</v>
      </c>
      <c r="O499" s="1" t="str">
        <f t="shared" si="23"/>
        <v>Young</v>
      </c>
    </row>
    <row r="500" spans="1:15" x14ac:dyDescent="0.3">
      <c r="A500" s="1">
        <v>1666</v>
      </c>
      <c r="B500" s="1" t="s">
        <v>8</v>
      </c>
      <c r="C500" s="2">
        <v>44736</v>
      </c>
      <c r="D500" s="2" t="str">
        <f t="shared" si="21"/>
        <v>Jun</v>
      </c>
      <c r="E500" s="2" t="str">
        <f t="shared" si="22"/>
        <v>2022</v>
      </c>
      <c r="F500" s="1">
        <v>120</v>
      </c>
      <c r="G500" s="1">
        <v>54</v>
      </c>
      <c r="H500" s="1">
        <v>4</v>
      </c>
      <c r="I500" s="1">
        <v>9</v>
      </c>
      <c r="J500" s="1">
        <v>26.8</v>
      </c>
      <c r="K500" s="1">
        <v>0.45500000000000002</v>
      </c>
      <c r="L500" s="1">
        <v>27</v>
      </c>
      <c r="M500" s="1">
        <v>0</v>
      </c>
      <c r="N500" s="1" t="s">
        <v>46</v>
      </c>
      <c r="O500" s="1" t="str">
        <f t="shared" si="23"/>
        <v>Young</v>
      </c>
    </row>
    <row r="501" spans="1:15" x14ac:dyDescent="0.3">
      <c r="A501" s="1">
        <v>4275</v>
      </c>
      <c r="B501" s="1" t="s">
        <v>9</v>
      </c>
      <c r="C501" s="2">
        <v>45205</v>
      </c>
      <c r="D501" s="2" t="str">
        <f t="shared" si="21"/>
        <v>Oct</v>
      </c>
      <c r="E501" s="2" t="str">
        <f t="shared" si="22"/>
        <v>2023</v>
      </c>
      <c r="F501" s="1">
        <v>106</v>
      </c>
      <c r="G501" s="1">
        <v>70</v>
      </c>
      <c r="H501" s="1">
        <v>28</v>
      </c>
      <c r="I501" s="1">
        <v>135</v>
      </c>
      <c r="J501" s="1">
        <v>34.200000000000003</v>
      </c>
      <c r="K501" s="1">
        <v>0.14199999999999999</v>
      </c>
      <c r="L501" s="1">
        <v>22</v>
      </c>
      <c r="M501" s="1">
        <v>0</v>
      </c>
      <c r="N501" s="1" t="s">
        <v>46</v>
      </c>
      <c r="O501" s="1" t="str">
        <f t="shared" si="23"/>
        <v>Young</v>
      </c>
    </row>
    <row r="502" spans="1:15" x14ac:dyDescent="0.3">
      <c r="A502" s="1">
        <v>6383</v>
      </c>
      <c r="B502" s="1" t="s">
        <v>8</v>
      </c>
      <c r="C502" s="2">
        <v>45406</v>
      </c>
      <c r="D502" s="2" t="str">
        <f t="shared" si="21"/>
        <v>Apr</v>
      </c>
      <c r="E502" s="2" t="str">
        <f t="shared" si="22"/>
        <v>2024</v>
      </c>
      <c r="F502" s="1">
        <v>155</v>
      </c>
      <c r="G502" s="1">
        <v>52</v>
      </c>
      <c r="H502" s="1">
        <v>27</v>
      </c>
      <c r="I502" s="1">
        <v>540</v>
      </c>
      <c r="J502" s="1">
        <v>38.700000000000003</v>
      </c>
      <c r="K502" s="1">
        <v>0.24</v>
      </c>
      <c r="L502" s="1">
        <v>25</v>
      </c>
      <c r="M502" s="1">
        <v>1</v>
      </c>
      <c r="N502" s="1" t="s">
        <v>45</v>
      </c>
      <c r="O502" s="1" t="str">
        <f t="shared" si="23"/>
        <v>Young</v>
      </c>
    </row>
    <row r="503" spans="1:15" x14ac:dyDescent="0.3">
      <c r="A503" s="1">
        <v>5660</v>
      </c>
      <c r="B503" s="1" t="s">
        <v>8</v>
      </c>
      <c r="C503" s="2">
        <v>44214</v>
      </c>
      <c r="D503" s="2" t="str">
        <f t="shared" si="21"/>
        <v>Jan</v>
      </c>
      <c r="E503" s="2" t="str">
        <f t="shared" si="22"/>
        <v>2021</v>
      </c>
      <c r="F503" s="1">
        <v>101</v>
      </c>
      <c r="G503" s="1">
        <v>58</v>
      </c>
      <c r="H503" s="1">
        <v>35</v>
      </c>
      <c r="I503" s="1">
        <v>90</v>
      </c>
      <c r="J503" s="1">
        <v>21.8</v>
      </c>
      <c r="K503" s="1">
        <v>0.155</v>
      </c>
      <c r="L503" s="1">
        <v>22</v>
      </c>
      <c r="M503" s="1">
        <v>0</v>
      </c>
      <c r="N503" s="1" t="s">
        <v>46</v>
      </c>
      <c r="O503" s="1" t="str">
        <f t="shared" si="23"/>
        <v>Young</v>
      </c>
    </row>
    <row r="504" spans="1:15" x14ac:dyDescent="0.3">
      <c r="A504" s="1">
        <v>8056</v>
      </c>
      <c r="B504" s="1" t="s">
        <v>9</v>
      </c>
      <c r="C504" s="2">
        <v>45028</v>
      </c>
      <c r="D504" s="2" t="str">
        <f t="shared" si="21"/>
        <v>Apr</v>
      </c>
      <c r="E504" s="2" t="str">
        <f t="shared" si="22"/>
        <v>2023</v>
      </c>
      <c r="F504" s="1">
        <v>120</v>
      </c>
      <c r="G504" s="1">
        <v>80</v>
      </c>
      <c r="H504" s="1">
        <v>48</v>
      </c>
      <c r="I504" s="1">
        <v>200</v>
      </c>
      <c r="J504" s="1">
        <v>38.9</v>
      </c>
      <c r="K504" s="1">
        <v>1.1619999999999999</v>
      </c>
      <c r="L504" s="1">
        <v>41</v>
      </c>
      <c r="M504" s="1">
        <v>0</v>
      </c>
      <c r="N504" s="1" t="s">
        <v>46</v>
      </c>
      <c r="O504" s="1" t="str">
        <f t="shared" si="23"/>
        <v>Middle-Aged</v>
      </c>
    </row>
    <row r="505" spans="1:15" x14ac:dyDescent="0.3">
      <c r="A505" s="1">
        <v>6001</v>
      </c>
      <c r="B505" s="1" t="s">
        <v>9</v>
      </c>
      <c r="C505" s="2">
        <v>45442</v>
      </c>
      <c r="D505" s="2" t="str">
        <f t="shared" si="21"/>
        <v>May</v>
      </c>
      <c r="E505" s="2" t="str">
        <f t="shared" si="22"/>
        <v>2024</v>
      </c>
      <c r="F505" s="1">
        <v>127</v>
      </c>
      <c r="G505" s="1">
        <v>106</v>
      </c>
      <c r="H505" s="1">
        <v>4</v>
      </c>
      <c r="I505" s="1">
        <v>9</v>
      </c>
      <c r="J505" s="1">
        <v>39</v>
      </c>
      <c r="K505" s="1">
        <v>0.19</v>
      </c>
      <c r="L505" s="1">
        <v>51</v>
      </c>
      <c r="M505" s="1">
        <v>0</v>
      </c>
      <c r="N505" s="1" t="s">
        <v>46</v>
      </c>
      <c r="O505" s="1" t="str">
        <f t="shared" si="23"/>
        <v>Old</v>
      </c>
    </row>
    <row r="506" spans="1:15" x14ac:dyDescent="0.3">
      <c r="A506" s="1">
        <v>3358</v>
      </c>
      <c r="B506" s="1" t="s">
        <v>9</v>
      </c>
      <c r="C506" s="2">
        <v>45543</v>
      </c>
      <c r="D506" s="2" t="str">
        <f t="shared" si="21"/>
        <v>Sep</v>
      </c>
      <c r="E506" s="2" t="str">
        <f t="shared" si="22"/>
        <v>2024</v>
      </c>
      <c r="F506" s="1">
        <v>80</v>
      </c>
      <c r="G506" s="1">
        <v>82</v>
      </c>
      <c r="H506" s="1">
        <v>31</v>
      </c>
      <c r="I506" s="1">
        <v>70</v>
      </c>
      <c r="J506" s="1">
        <v>34.200000000000003</v>
      </c>
      <c r="K506" s="1">
        <v>1.292</v>
      </c>
      <c r="L506" s="1">
        <v>27</v>
      </c>
      <c r="M506" s="1">
        <v>1</v>
      </c>
      <c r="N506" s="1" t="s">
        <v>45</v>
      </c>
      <c r="O506" s="1" t="str">
        <f t="shared" si="23"/>
        <v>Young</v>
      </c>
    </row>
    <row r="507" spans="1:15" x14ac:dyDescent="0.3">
      <c r="A507" s="1">
        <v>4374</v>
      </c>
      <c r="B507" s="1" t="s">
        <v>8</v>
      </c>
      <c r="C507" s="2">
        <v>44422</v>
      </c>
      <c r="D507" s="2" t="str">
        <f t="shared" si="21"/>
        <v>Aug</v>
      </c>
      <c r="E507" s="2" t="str">
        <f t="shared" si="22"/>
        <v>2021</v>
      </c>
      <c r="F507" s="1">
        <v>162</v>
      </c>
      <c r="G507" s="1">
        <v>84</v>
      </c>
      <c r="H507" s="1">
        <v>4</v>
      </c>
      <c r="I507" s="1">
        <v>9</v>
      </c>
      <c r="J507" s="1">
        <v>27.7</v>
      </c>
      <c r="K507" s="1">
        <v>0.182</v>
      </c>
      <c r="L507" s="1">
        <v>54</v>
      </c>
      <c r="M507" s="1">
        <v>0</v>
      </c>
      <c r="N507" s="1" t="s">
        <v>46</v>
      </c>
      <c r="O507" s="1" t="str">
        <f t="shared" si="23"/>
        <v>Old</v>
      </c>
    </row>
    <row r="508" spans="1:15" x14ac:dyDescent="0.3">
      <c r="A508" s="1">
        <v>5225</v>
      </c>
      <c r="B508" s="1" t="s">
        <v>8</v>
      </c>
      <c r="C508" s="2">
        <v>44981</v>
      </c>
      <c r="D508" s="2" t="str">
        <f t="shared" si="21"/>
        <v>Feb</v>
      </c>
      <c r="E508" s="2" t="str">
        <f t="shared" si="22"/>
        <v>2023</v>
      </c>
      <c r="F508" s="1">
        <v>167</v>
      </c>
      <c r="G508" s="1">
        <v>106</v>
      </c>
      <c r="H508" s="1">
        <v>46</v>
      </c>
      <c r="I508" s="1">
        <v>231</v>
      </c>
      <c r="J508" s="1">
        <v>37.6</v>
      </c>
      <c r="K508" s="1">
        <v>0.16500000000000001</v>
      </c>
      <c r="L508" s="1">
        <v>43</v>
      </c>
      <c r="M508" s="1">
        <v>1</v>
      </c>
      <c r="N508" s="1" t="s">
        <v>45</v>
      </c>
      <c r="O508" s="1" t="str">
        <f t="shared" si="23"/>
        <v>Middle-Aged</v>
      </c>
    </row>
    <row r="509" spans="1:15" x14ac:dyDescent="0.3">
      <c r="A509" s="1">
        <v>9852</v>
      </c>
      <c r="B509" s="1" t="s">
        <v>9</v>
      </c>
      <c r="C509" s="2">
        <v>45510</v>
      </c>
      <c r="D509" s="2" t="str">
        <f t="shared" si="21"/>
        <v>Aug</v>
      </c>
      <c r="E509" s="2" t="str">
        <f t="shared" si="22"/>
        <v>2024</v>
      </c>
      <c r="F509" s="1">
        <v>145</v>
      </c>
      <c r="G509" s="1">
        <v>80</v>
      </c>
      <c r="H509" s="1">
        <v>46</v>
      </c>
      <c r="I509" s="1">
        <v>130</v>
      </c>
      <c r="J509" s="1">
        <v>37.9</v>
      </c>
      <c r="K509" s="1">
        <v>0.63700000000000001</v>
      </c>
      <c r="L509" s="1">
        <v>40</v>
      </c>
      <c r="M509" s="1">
        <v>1</v>
      </c>
      <c r="N509" s="1" t="s">
        <v>45</v>
      </c>
      <c r="O509" s="1" t="str">
        <f t="shared" si="23"/>
        <v>Middle-Aged</v>
      </c>
    </row>
    <row r="510" spans="1:15" x14ac:dyDescent="0.3">
      <c r="A510" s="1">
        <v>3354</v>
      </c>
      <c r="B510" s="1" t="s">
        <v>9</v>
      </c>
      <c r="C510" s="2">
        <v>45637</v>
      </c>
      <c r="D510" s="2" t="str">
        <f t="shared" si="21"/>
        <v>Dec</v>
      </c>
      <c r="E510" s="2" t="str">
        <f t="shared" si="22"/>
        <v>2024</v>
      </c>
      <c r="F510" s="1">
        <v>112</v>
      </c>
      <c r="G510" s="1">
        <v>80</v>
      </c>
      <c r="H510" s="1">
        <v>45</v>
      </c>
      <c r="I510" s="1">
        <v>132</v>
      </c>
      <c r="J510" s="1">
        <v>34.799999999999997</v>
      </c>
      <c r="K510" s="1">
        <v>0.217</v>
      </c>
      <c r="L510" s="1">
        <v>24</v>
      </c>
      <c r="M510" s="1">
        <v>0</v>
      </c>
      <c r="N510" s="1" t="s">
        <v>46</v>
      </c>
      <c r="O510" s="1" t="str">
        <f t="shared" si="23"/>
        <v>Young</v>
      </c>
    </row>
    <row r="511" spans="1:15" x14ac:dyDescent="0.3">
      <c r="A511" s="1">
        <v>1238</v>
      </c>
      <c r="B511" s="1" t="s">
        <v>8</v>
      </c>
      <c r="C511" s="2">
        <v>44347</v>
      </c>
      <c r="D511" s="2" t="str">
        <f t="shared" si="21"/>
        <v>May</v>
      </c>
      <c r="E511" s="2" t="str">
        <f t="shared" si="22"/>
        <v>2021</v>
      </c>
      <c r="F511" s="1">
        <v>98</v>
      </c>
      <c r="G511" s="1">
        <v>58</v>
      </c>
      <c r="H511" s="1">
        <v>33</v>
      </c>
      <c r="I511" s="1">
        <v>190</v>
      </c>
      <c r="J511" s="1">
        <v>34</v>
      </c>
      <c r="K511" s="1">
        <v>0.43</v>
      </c>
      <c r="L511" s="1">
        <v>43</v>
      </c>
      <c r="M511" s="1">
        <v>0</v>
      </c>
      <c r="N511" s="1" t="s">
        <v>46</v>
      </c>
      <c r="O511" s="1" t="str">
        <f t="shared" si="23"/>
        <v>Middle-Aged</v>
      </c>
    </row>
    <row r="512" spans="1:15" x14ac:dyDescent="0.3">
      <c r="A512" s="1">
        <v>4933</v>
      </c>
      <c r="B512" s="1" t="s">
        <v>9</v>
      </c>
      <c r="C512" s="2">
        <v>44710</v>
      </c>
      <c r="D512" s="2" t="str">
        <f t="shared" si="21"/>
        <v>May</v>
      </c>
      <c r="E512" s="2" t="str">
        <f t="shared" si="22"/>
        <v>2022</v>
      </c>
      <c r="F512" s="1">
        <v>154</v>
      </c>
      <c r="G512" s="1">
        <v>78</v>
      </c>
      <c r="H512" s="1">
        <v>30</v>
      </c>
      <c r="I512" s="1">
        <v>100</v>
      </c>
      <c r="J512" s="1">
        <v>30.9</v>
      </c>
      <c r="K512" s="1">
        <v>0.16400000000000001</v>
      </c>
      <c r="L512" s="1">
        <v>45</v>
      </c>
      <c r="M512" s="1">
        <v>0</v>
      </c>
      <c r="N512" s="1" t="s">
        <v>46</v>
      </c>
      <c r="O512" s="1" t="str">
        <f t="shared" si="23"/>
        <v>Middle-Aged</v>
      </c>
    </row>
    <row r="513" spans="1:15" x14ac:dyDescent="0.3">
      <c r="A513" s="1">
        <v>3893</v>
      </c>
      <c r="B513" s="1" t="s">
        <v>8</v>
      </c>
      <c r="C513" s="2">
        <v>44290</v>
      </c>
      <c r="D513" s="2" t="str">
        <f t="shared" si="21"/>
        <v>Apr</v>
      </c>
      <c r="E513" s="2" t="str">
        <f t="shared" si="22"/>
        <v>2021</v>
      </c>
      <c r="F513" s="1">
        <v>165</v>
      </c>
      <c r="G513" s="1">
        <v>68</v>
      </c>
      <c r="H513" s="1">
        <v>26</v>
      </c>
      <c r="I513" s="1">
        <v>168</v>
      </c>
      <c r="J513" s="1">
        <v>33.6</v>
      </c>
      <c r="K513" s="1">
        <v>0.63100000000000001</v>
      </c>
      <c r="L513" s="1">
        <v>49</v>
      </c>
      <c r="M513" s="1">
        <v>0</v>
      </c>
      <c r="N513" s="1" t="s">
        <v>46</v>
      </c>
      <c r="O513" s="1" t="str">
        <f t="shared" si="23"/>
        <v>Middle-Aged</v>
      </c>
    </row>
    <row r="514" spans="1:15" x14ac:dyDescent="0.3">
      <c r="A514" s="1">
        <v>7266</v>
      </c>
      <c r="B514" s="1" t="s">
        <v>8</v>
      </c>
      <c r="C514" s="2">
        <v>44806</v>
      </c>
      <c r="D514" s="2" t="str">
        <f t="shared" si="21"/>
        <v>Sep</v>
      </c>
      <c r="E514" s="2" t="str">
        <f t="shared" si="22"/>
        <v>2022</v>
      </c>
      <c r="F514" s="1">
        <v>68</v>
      </c>
      <c r="G514" s="1">
        <v>106</v>
      </c>
      <c r="H514" s="1">
        <v>23</v>
      </c>
      <c r="I514" s="1">
        <v>49</v>
      </c>
      <c r="J514" s="1">
        <v>35.5</v>
      </c>
      <c r="K514" s="1">
        <v>0.28499999999999998</v>
      </c>
      <c r="L514" s="1">
        <v>47</v>
      </c>
      <c r="M514" s="1">
        <v>0</v>
      </c>
      <c r="N514" s="1" t="s">
        <v>46</v>
      </c>
      <c r="O514" s="1" t="str">
        <f t="shared" si="23"/>
        <v>Middle-Aged</v>
      </c>
    </row>
    <row r="515" spans="1:15" x14ac:dyDescent="0.3">
      <c r="A515" s="1">
        <v>3222</v>
      </c>
      <c r="B515" s="1" t="s">
        <v>9</v>
      </c>
      <c r="C515" s="2">
        <v>44988</v>
      </c>
      <c r="D515" s="2" t="str">
        <f t="shared" ref="D515:D578" si="24">TEXT(C515,"MMM")</f>
        <v>Mar</v>
      </c>
      <c r="E515" s="2" t="str">
        <f t="shared" ref="E515:E578" si="25">TEXT(C515,"YYY")</f>
        <v>2023</v>
      </c>
      <c r="F515" s="1">
        <v>123</v>
      </c>
      <c r="G515" s="1">
        <v>100</v>
      </c>
      <c r="H515" s="1">
        <v>35</v>
      </c>
      <c r="I515" s="1">
        <v>240</v>
      </c>
      <c r="J515" s="1">
        <v>57.3</v>
      </c>
      <c r="K515" s="1">
        <v>0.88</v>
      </c>
      <c r="L515" s="1">
        <v>22</v>
      </c>
      <c r="M515" s="1">
        <v>0</v>
      </c>
      <c r="N515" s="1" t="s">
        <v>46</v>
      </c>
      <c r="O515" s="1" t="str">
        <f t="shared" ref="O515:O578" si="26">IF(L515&lt;=35,"Young",IF(L515&lt;=50,"Middle-Aged",IF(L515&lt;=65,"Old","Very Old")))</f>
        <v>Young</v>
      </c>
    </row>
    <row r="516" spans="1:15" x14ac:dyDescent="0.3">
      <c r="A516" s="1">
        <v>3698</v>
      </c>
      <c r="B516" s="1" t="s">
        <v>8</v>
      </c>
      <c r="C516" s="2">
        <v>45501</v>
      </c>
      <c r="D516" s="2" t="str">
        <f t="shared" si="24"/>
        <v>Jul</v>
      </c>
      <c r="E516" s="2" t="str">
        <f t="shared" si="25"/>
        <v>2024</v>
      </c>
      <c r="F516" s="1">
        <v>91</v>
      </c>
      <c r="G516" s="1">
        <v>82</v>
      </c>
      <c r="H516" s="1">
        <v>4</v>
      </c>
      <c r="I516" s="1">
        <v>14</v>
      </c>
      <c r="J516" s="1">
        <v>35.6</v>
      </c>
      <c r="K516" s="1">
        <v>0.58699999999999997</v>
      </c>
      <c r="L516" s="1">
        <v>68</v>
      </c>
      <c r="M516" s="1">
        <v>0</v>
      </c>
      <c r="N516" s="1" t="s">
        <v>46</v>
      </c>
      <c r="O516" s="1" t="str">
        <f t="shared" si="26"/>
        <v>Very Old</v>
      </c>
    </row>
    <row r="517" spans="1:15" x14ac:dyDescent="0.3">
      <c r="A517" s="1">
        <v>6468</v>
      </c>
      <c r="B517" s="1" t="s">
        <v>8</v>
      </c>
      <c r="C517" s="2">
        <v>45143</v>
      </c>
      <c r="D517" s="2" t="str">
        <f t="shared" si="24"/>
        <v>Aug</v>
      </c>
      <c r="E517" s="2" t="str">
        <f t="shared" si="25"/>
        <v>2023</v>
      </c>
      <c r="F517" s="1">
        <v>195</v>
      </c>
      <c r="G517" s="1">
        <v>70</v>
      </c>
      <c r="H517" s="1">
        <v>4</v>
      </c>
      <c r="I517" s="1">
        <v>14</v>
      </c>
      <c r="J517" s="1">
        <v>30.9</v>
      </c>
      <c r="K517" s="1">
        <v>0.32800000000000001</v>
      </c>
      <c r="L517" s="1">
        <v>31</v>
      </c>
      <c r="M517" s="1">
        <v>1</v>
      </c>
      <c r="N517" s="1" t="s">
        <v>45</v>
      </c>
      <c r="O517" s="1" t="str">
        <f t="shared" si="26"/>
        <v>Young</v>
      </c>
    </row>
    <row r="518" spans="1:15" x14ac:dyDescent="0.3">
      <c r="A518" s="1">
        <v>7363</v>
      </c>
      <c r="B518" s="1" t="s">
        <v>9</v>
      </c>
      <c r="C518" s="2">
        <v>45361</v>
      </c>
      <c r="D518" s="2" t="str">
        <f t="shared" si="24"/>
        <v>Mar</v>
      </c>
      <c r="E518" s="2" t="str">
        <f t="shared" si="25"/>
        <v>2024</v>
      </c>
      <c r="F518" s="1">
        <v>156</v>
      </c>
      <c r="G518" s="1">
        <v>86</v>
      </c>
      <c r="H518" s="1">
        <v>4</v>
      </c>
      <c r="I518" s="1">
        <v>14</v>
      </c>
      <c r="J518" s="1">
        <v>24.8</v>
      </c>
      <c r="K518" s="1">
        <v>0.23</v>
      </c>
      <c r="L518" s="1">
        <v>53</v>
      </c>
      <c r="M518" s="1">
        <v>1</v>
      </c>
      <c r="N518" s="1" t="s">
        <v>45</v>
      </c>
      <c r="O518" s="1" t="str">
        <f t="shared" si="26"/>
        <v>Old</v>
      </c>
    </row>
    <row r="519" spans="1:15" x14ac:dyDescent="0.3">
      <c r="A519" s="1">
        <v>9352</v>
      </c>
      <c r="B519" s="1" t="s">
        <v>8</v>
      </c>
      <c r="C519" s="2">
        <v>44374</v>
      </c>
      <c r="D519" s="2" t="str">
        <f t="shared" si="24"/>
        <v>Jun</v>
      </c>
      <c r="E519" s="2" t="str">
        <f t="shared" si="25"/>
        <v>2021</v>
      </c>
      <c r="F519" s="1">
        <v>93</v>
      </c>
      <c r="G519" s="1">
        <v>60</v>
      </c>
      <c r="H519" s="1">
        <v>4</v>
      </c>
      <c r="I519" s="1">
        <v>14</v>
      </c>
      <c r="J519" s="1">
        <v>35.299999999999997</v>
      </c>
      <c r="K519" s="1">
        <v>0.26300000000000001</v>
      </c>
      <c r="L519" s="1">
        <v>25</v>
      </c>
      <c r="M519" s="1">
        <v>0</v>
      </c>
      <c r="N519" s="1" t="s">
        <v>46</v>
      </c>
      <c r="O519" s="1" t="str">
        <f t="shared" si="26"/>
        <v>Young</v>
      </c>
    </row>
    <row r="520" spans="1:15" x14ac:dyDescent="0.3">
      <c r="A520" s="1">
        <v>5261</v>
      </c>
      <c r="B520" s="1" t="s">
        <v>9</v>
      </c>
      <c r="C520" s="2">
        <v>45557</v>
      </c>
      <c r="D520" s="2" t="str">
        <f t="shared" si="24"/>
        <v>Sep</v>
      </c>
      <c r="E520" s="2" t="str">
        <f t="shared" si="25"/>
        <v>2024</v>
      </c>
      <c r="F520" s="1">
        <v>121</v>
      </c>
      <c r="G520" s="1">
        <v>52</v>
      </c>
      <c r="H520" s="1">
        <v>4</v>
      </c>
      <c r="I520" s="1">
        <v>14</v>
      </c>
      <c r="J520" s="1">
        <v>36</v>
      </c>
      <c r="K520" s="1">
        <v>0.127</v>
      </c>
      <c r="L520" s="1">
        <v>25</v>
      </c>
      <c r="M520" s="1">
        <v>1</v>
      </c>
      <c r="N520" s="1" t="s">
        <v>45</v>
      </c>
      <c r="O520" s="1" t="str">
        <f t="shared" si="26"/>
        <v>Young</v>
      </c>
    </row>
    <row r="521" spans="1:15" x14ac:dyDescent="0.3">
      <c r="A521" s="1">
        <v>8763</v>
      </c>
      <c r="B521" s="1" t="s">
        <v>8</v>
      </c>
      <c r="C521" s="2">
        <v>44745</v>
      </c>
      <c r="D521" s="2" t="str">
        <f t="shared" si="24"/>
        <v>Jul</v>
      </c>
      <c r="E521" s="2" t="str">
        <f t="shared" si="25"/>
        <v>2022</v>
      </c>
      <c r="F521" s="1">
        <v>101</v>
      </c>
      <c r="G521" s="1">
        <v>58</v>
      </c>
      <c r="H521" s="1">
        <v>17</v>
      </c>
      <c r="I521" s="1">
        <v>265</v>
      </c>
      <c r="J521" s="1">
        <v>24.2</v>
      </c>
      <c r="K521" s="1">
        <v>0.61399999999999999</v>
      </c>
      <c r="L521" s="1">
        <v>23</v>
      </c>
      <c r="M521" s="1">
        <v>0</v>
      </c>
      <c r="N521" s="1" t="s">
        <v>46</v>
      </c>
      <c r="O521" s="1" t="str">
        <f t="shared" si="26"/>
        <v>Young</v>
      </c>
    </row>
    <row r="522" spans="1:15" x14ac:dyDescent="0.3">
      <c r="A522" s="1">
        <v>5963</v>
      </c>
      <c r="B522" s="1" t="s">
        <v>8</v>
      </c>
      <c r="C522" s="2">
        <v>45018</v>
      </c>
      <c r="D522" s="2" t="str">
        <f t="shared" si="24"/>
        <v>Apr</v>
      </c>
      <c r="E522" s="2" t="str">
        <f t="shared" si="25"/>
        <v>2023</v>
      </c>
      <c r="F522" s="1">
        <v>56</v>
      </c>
      <c r="G522" s="1">
        <v>56</v>
      </c>
      <c r="H522" s="1">
        <v>28</v>
      </c>
      <c r="I522" s="1">
        <v>45</v>
      </c>
      <c r="J522" s="1">
        <v>24.2</v>
      </c>
      <c r="K522" s="1">
        <v>0.33200000000000002</v>
      </c>
      <c r="L522" s="1">
        <v>22</v>
      </c>
      <c r="M522" s="1">
        <v>0</v>
      </c>
      <c r="N522" s="1" t="s">
        <v>46</v>
      </c>
      <c r="O522" s="1" t="str">
        <f t="shared" si="26"/>
        <v>Young</v>
      </c>
    </row>
    <row r="523" spans="1:15" x14ac:dyDescent="0.3">
      <c r="A523" s="1">
        <v>4511</v>
      </c>
      <c r="B523" s="1" t="s">
        <v>8</v>
      </c>
      <c r="C523" s="2">
        <v>44370</v>
      </c>
      <c r="D523" s="2" t="str">
        <f t="shared" si="24"/>
        <v>Jun</v>
      </c>
      <c r="E523" s="2" t="str">
        <f t="shared" si="25"/>
        <v>2021</v>
      </c>
      <c r="F523" s="1">
        <v>95</v>
      </c>
      <c r="G523" s="1">
        <v>64</v>
      </c>
      <c r="H523" s="1">
        <v>39</v>
      </c>
      <c r="I523" s="1">
        <v>105</v>
      </c>
      <c r="J523" s="1">
        <v>44.6</v>
      </c>
      <c r="K523" s="1">
        <v>0.36599999999999999</v>
      </c>
      <c r="L523" s="1">
        <v>22</v>
      </c>
      <c r="M523" s="1">
        <v>0</v>
      </c>
      <c r="N523" s="1" t="s">
        <v>46</v>
      </c>
      <c r="O523" s="1" t="str">
        <f t="shared" si="26"/>
        <v>Young</v>
      </c>
    </row>
    <row r="524" spans="1:15" x14ac:dyDescent="0.3">
      <c r="A524" s="1">
        <v>8324</v>
      </c>
      <c r="B524" s="1" t="s">
        <v>8</v>
      </c>
      <c r="C524" s="2">
        <v>44827</v>
      </c>
      <c r="D524" s="2" t="str">
        <f t="shared" si="24"/>
        <v>Sep</v>
      </c>
      <c r="E524" s="2" t="str">
        <f t="shared" si="25"/>
        <v>2022</v>
      </c>
      <c r="F524" s="1">
        <v>125</v>
      </c>
      <c r="G524" s="1">
        <v>80</v>
      </c>
      <c r="H524" s="1">
        <v>4</v>
      </c>
      <c r="I524" s="1">
        <v>14</v>
      </c>
      <c r="J524" s="1">
        <v>32.299999999999997</v>
      </c>
      <c r="K524" s="1">
        <v>0.53600000000000003</v>
      </c>
      <c r="L524" s="1">
        <v>27</v>
      </c>
      <c r="M524" s="1">
        <v>1</v>
      </c>
      <c r="N524" s="1" t="s">
        <v>45</v>
      </c>
      <c r="O524" s="1" t="str">
        <f t="shared" si="26"/>
        <v>Young</v>
      </c>
    </row>
    <row r="525" spans="1:15" x14ac:dyDescent="0.3">
      <c r="A525" s="1">
        <v>4394</v>
      </c>
      <c r="B525" s="1" t="s">
        <v>8</v>
      </c>
      <c r="C525" s="2">
        <v>45425</v>
      </c>
      <c r="D525" s="2" t="str">
        <f t="shared" si="24"/>
        <v>May</v>
      </c>
      <c r="E525" s="2" t="str">
        <f t="shared" si="25"/>
        <v>2024</v>
      </c>
      <c r="F525" s="1">
        <v>129</v>
      </c>
      <c r="G525" s="1">
        <v>74</v>
      </c>
      <c r="H525" s="1">
        <v>26</v>
      </c>
      <c r="I525" s="1">
        <v>205</v>
      </c>
      <c r="J525" s="1">
        <v>33.200000000000003</v>
      </c>
      <c r="K525" s="1">
        <v>0.59099999999999997</v>
      </c>
      <c r="L525" s="1">
        <v>25</v>
      </c>
      <c r="M525" s="1">
        <v>0</v>
      </c>
      <c r="N525" s="1" t="s">
        <v>46</v>
      </c>
      <c r="O525" s="1" t="str">
        <f t="shared" si="26"/>
        <v>Young</v>
      </c>
    </row>
    <row r="526" spans="1:15" x14ac:dyDescent="0.3">
      <c r="A526" s="1">
        <v>3503</v>
      </c>
      <c r="B526" s="1" t="s">
        <v>9</v>
      </c>
      <c r="C526" s="2">
        <v>44589</v>
      </c>
      <c r="D526" s="2" t="str">
        <f t="shared" si="24"/>
        <v>Jan</v>
      </c>
      <c r="E526" s="2" t="str">
        <f t="shared" si="25"/>
        <v>2022</v>
      </c>
      <c r="F526" s="1">
        <v>130</v>
      </c>
      <c r="G526" s="1">
        <v>64</v>
      </c>
      <c r="H526" s="1">
        <v>37</v>
      </c>
      <c r="I526" s="1">
        <v>14</v>
      </c>
      <c r="J526" s="1">
        <v>23.1</v>
      </c>
      <c r="K526" s="1">
        <v>0.314</v>
      </c>
      <c r="L526" s="1">
        <v>22</v>
      </c>
      <c r="M526" s="1">
        <v>0</v>
      </c>
      <c r="N526" s="1" t="s">
        <v>46</v>
      </c>
      <c r="O526" s="1" t="str">
        <f t="shared" si="26"/>
        <v>Young</v>
      </c>
    </row>
    <row r="527" spans="1:15" x14ac:dyDescent="0.3">
      <c r="A527" s="1">
        <v>9130</v>
      </c>
      <c r="B527" s="1" t="s">
        <v>9</v>
      </c>
      <c r="C527" s="2">
        <v>45292</v>
      </c>
      <c r="D527" s="2" t="str">
        <f t="shared" si="24"/>
        <v>Jan</v>
      </c>
      <c r="E527" s="2" t="str">
        <f t="shared" si="25"/>
        <v>2024</v>
      </c>
      <c r="F527" s="1">
        <v>140</v>
      </c>
      <c r="G527" s="1">
        <v>74</v>
      </c>
      <c r="H527" s="1">
        <v>26</v>
      </c>
      <c r="I527" s="1">
        <v>180</v>
      </c>
      <c r="J527" s="1">
        <v>24.1</v>
      </c>
      <c r="K527" s="1">
        <v>0.82799999999999996</v>
      </c>
      <c r="L527" s="1">
        <v>23</v>
      </c>
      <c r="M527" s="1">
        <v>0</v>
      </c>
      <c r="N527" s="1" t="s">
        <v>46</v>
      </c>
      <c r="O527" s="1" t="str">
        <f t="shared" si="26"/>
        <v>Young</v>
      </c>
    </row>
    <row r="528" spans="1:15" x14ac:dyDescent="0.3">
      <c r="A528" s="1">
        <v>1146</v>
      </c>
      <c r="B528" s="1" t="s">
        <v>9</v>
      </c>
      <c r="C528" s="2">
        <v>45397</v>
      </c>
      <c r="D528" s="2" t="str">
        <f t="shared" si="24"/>
        <v>Apr</v>
      </c>
      <c r="E528" s="2" t="str">
        <f t="shared" si="25"/>
        <v>2024</v>
      </c>
      <c r="F528" s="1">
        <v>144</v>
      </c>
      <c r="G528" s="1">
        <v>82</v>
      </c>
      <c r="H528" s="1">
        <v>46</v>
      </c>
      <c r="I528" s="1">
        <v>180</v>
      </c>
      <c r="J528" s="1">
        <v>46.1</v>
      </c>
      <c r="K528" s="1">
        <v>0.33500000000000002</v>
      </c>
      <c r="L528" s="1">
        <v>46</v>
      </c>
      <c r="M528" s="1">
        <v>1</v>
      </c>
      <c r="N528" s="1" t="s">
        <v>45</v>
      </c>
      <c r="O528" s="1" t="str">
        <f t="shared" si="26"/>
        <v>Middle-Aged</v>
      </c>
    </row>
    <row r="529" spans="1:15" x14ac:dyDescent="0.3">
      <c r="A529" s="1">
        <v>5720</v>
      </c>
      <c r="B529" s="1" t="s">
        <v>8</v>
      </c>
      <c r="C529" s="2">
        <v>44486</v>
      </c>
      <c r="D529" s="2" t="str">
        <f t="shared" si="24"/>
        <v>Oct</v>
      </c>
      <c r="E529" s="2" t="str">
        <f t="shared" si="25"/>
        <v>2021</v>
      </c>
      <c r="F529" s="1">
        <v>107</v>
      </c>
      <c r="G529" s="1">
        <v>80</v>
      </c>
      <c r="H529" s="1">
        <v>37</v>
      </c>
      <c r="I529" s="1">
        <v>14</v>
      </c>
      <c r="J529" s="1">
        <v>24.6</v>
      </c>
      <c r="K529" s="1">
        <v>0.85599999999999998</v>
      </c>
      <c r="L529" s="1">
        <v>34</v>
      </c>
      <c r="M529" s="1">
        <v>0</v>
      </c>
      <c r="N529" s="1" t="s">
        <v>46</v>
      </c>
      <c r="O529" s="1" t="str">
        <f t="shared" si="26"/>
        <v>Young</v>
      </c>
    </row>
    <row r="530" spans="1:15" x14ac:dyDescent="0.3">
      <c r="A530" s="1">
        <v>4953</v>
      </c>
      <c r="B530" s="1" t="s">
        <v>9</v>
      </c>
      <c r="C530" s="2">
        <v>44413</v>
      </c>
      <c r="D530" s="2" t="str">
        <f t="shared" si="24"/>
        <v>Aug</v>
      </c>
      <c r="E530" s="2" t="str">
        <f t="shared" si="25"/>
        <v>2021</v>
      </c>
      <c r="F530" s="1">
        <v>158</v>
      </c>
      <c r="G530" s="1">
        <v>114</v>
      </c>
      <c r="H530" s="1">
        <v>37</v>
      </c>
      <c r="I530" s="1">
        <v>14</v>
      </c>
      <c r="J530" s="1">
        <v>42.3</v>
      </c>
      <c r="K530" s="1">
        <v>0.25700000000000001</v>
      </c>
      <c r="L530" s="1">
        <v>44</v>
      </c>
      <c r="M530" s="1">
        <v>1</v>
      </c>
      <c r="N530" s="1" t="s">
        <v>45</v>
      </c>
      <c r="O530" s="1" t="str">
        <f t="shared" si="26"/>
        <v>Middle-Aged</v>
      </c>
    </row>
    <row r="531" spans="1:15" x14ac:dyDescent="0.3">
      <c r="A531" s="1">
        <v>5316</v>
      </c>
      <c r="B531" s="1" t="s">
        <v>8</v>
      </c>
      <c r="C531" s="2">
        <v>44288</v>
      </c>
      <c r="D531" s="2" t="str">
        <f t="shared" si="24"/>
        <v>Apr</v>
      </c>
      <c r="E531" s="2" t="str">
        <f t="shared" si="25"/>
        <v>2021</v>
      </c>
      <c r="F531" s="1">
        <v>121</v>
      </c>
      <c r="G531" s="1">
        <v>70</v>
      </c>
      <c r="H531" s="1">
        <v>32</v>
      </c>
      <c r="I531" s="1">
        <v>95</v>
      </c>
      <c r="J531" s="1">
        <v>39.1</v>
      </c>
      <c r="K531" s="1">
        <v>0.88600000000000001</v>
      </c>
      <c r="L531" s="1">
        <v>23</v>
      </c>
      <c r="M531" s="1">
        <v>0</v>
      </c>
      <c r="N531" s="1" t="s">
        <v>46</v>
      </c>
      <c r="O531" s="1" t="str">
        <f t="shared" si="26"/>
        <v>Young</v>
      </c>
    </row>
    <row r="532" spans="1:15" x14ac:dyDescent="0.3">
      <c r="A532" s="1">
        <v>1997</v>
      </c>
      <c r="B532" s="1" t="s">
        <v>9</v>
      </c>
      <c r="C532" s="2">
        <v>45425</v>
      </c>
      <c r="D532" s="2" t="str">
        <f t="shared" si="24"/>
        <v>May</v>
      </c>
      <c r="E532" s="2" t="str">
        <f t="shared" si="25"/>
        <v>2024</v>
      </c>
      <c r="F532" s="1">
        <v>129</v>
      </c>
      <c r="G532" s="1">
        <v>68</v>
      </c>
      <c r="H532" s="1">
        <v>49</v>
      </c>
      <c r="I532" s="1">
        <v>125</v>
      </c>
      <c r="J532" s="1">
        <v>38.5</v>
      </c>
      <c r="K532" s="1">
        <v>0.439</v>
      </c>
      <c r="L532" s="1">
        <v>43</v>
      </c>
      <c r="M532" s="1">
        <v>1</v>
      </c>
      <c r="N532" s="1" t="s">
        <v>45</v>
      </c>
      <c r="O532" s="1" t="str">
        <f t="shared" si="26"/>
        <v>Middle-Aged</v>
      </c>
    </row>
    <row r="533" spans="1:15" x14ac:dyDescent="0.3">
      <c r="A533" s="1">
        <v>7561</v>
      </c>
      <c r="B533" s="1" t="s">
        <v>8</v>
      </c>
      <c r="C533" s="2">
        <v>45521</v>
      </c>
      <c r="D533" s="2" t="str">
        <f t="shared" si="24"/>
        <v>Aug</v>
      </c>
      <c r="E533" s="2" t="str">
        <f t="shared" si="25"/>
        <v>2024</v>
      </c>
      <c r="F533" s="1">
        <v>90</v>
      </c>
      <c r="G533" s="1">
        <v>60</v>
      </c>
      <c r="H533" s="1">
        <v>37</v>
      </c>
      <c r="I533" s="1">
        <v>14</v>
      </c>
      <c r="J533" s="1">
        <v>23.5</v>
      </c>
      <c r="K533" s="1">
        <v>0.191</v>
      </c>
      <c r="L533" s="1">
        <v>25</v>
      </c>
      <c r="M533" s="1">
        <v>0</v>
      </c>
      <c r="N533" s="1" t="s">
        <v>46</v>
      </c>
      <c r="O533" s="1" t="str">
        <f t="shared" si="26"/>
        <v>Young</v>
      </c>
    </row>
    <row r="534" spans="1:15" x14ac:dyDescent="0.3">
      <c r="A534" s="1">
        <v>3448</v>
      </c>
      <c r="B534" s="1" t="s">
        <v>9</v>
      </c>
      <c r="C534" s="2">
        <v>44731</v>
      </c>
      <c r="D534" s="2" t="str">
        <f t="shared" si="24"/>
        <v>Jun</v>
      </c>
      <c r="E534" s="2" t="str">
        <f t="shared" si="25"/>
        <v>2022</v>
      </c>
      <c r="F534" s="1">
        <v>142</v>
      </c>
      <c r="G534" s="1">
        <v>90</v>
      </c>
      <c r="H534" s="1">
        <v>24</v>
      </c>
      <c r="I534" s="1">
        <v>480</v>
      </c>
      <c r="J534" s="1">
        <v>30.4</v>
      </c>
      <c r="K534" s="1">
        <v>0.128</v>
      </c>
      <c r="L534" s="1">
        <v>43</v>
      </c>
      <c r="M534" s="1">
        <v>1</v>
      </c>
      <c r="N534" s="1" t="s">
        <v>45</v>
      </c>
      <c r="O534" s="1" t="str">
        <f t="shared" si="26"/>
        <v>Middle-Aged</v>
      </c>
    </row>
    <row r="535" spans="1:15" x14ac:dyDescent="0.3">
      <c r="A535" s="1">
        <v>3576</v>
      </c>
      <c r="B535" s="1" t="s">
        <v>9</v>
      </c>
      <c r="C535" s="2">
        <v>44865</v>
      </c>
      <c r="D535" s="2" t="str">
        <f t="shared" si="24"/>
        <v>Oct</v>
      </c>
      <c r="E535" s="2" t="str">
        <f t="shared" si="25"/>
        <v>2022</v>
      </c>
      <c r="F535" s="1">
        <v>169</v>
      </c>
      <c r="G535" s="1">
        <v>74</v>
      </c>
      <c r="H535" s="1">
        <v>19</v>
      </c>
      <c r="I535" s="1">
        <v>125</v>
      </c>
      <c r="J535" s="1">
        <v>29.9</v>
      </c>
      <c r="K535" s="1">
        <v>0.26800000000000002</v>
      </c>
      <c r="L535" s="1">
        <v>31</v>
      </c>
      <c r="M535" s="1">
        <v>1</v>
      </c>
      <c r="N535" s="1" t="s">
        <v>45</v>
      </c>
      <c r="O535" s="1" t="str">
        <f t="shared" si="26"/>
        <v>Young</v>
      </c>
    </row>
    <row r="536" spans="1:15" x14ac:dyDescent="0.3">
      <c r="A536" s="1">
        <v>8153</v>
      </c>
      <c r="B536" s="1" t="s">
        <v>8</v>
      </c>
      <c r="C536" s="2">
        <v>44273</v>
      </c>
      <c r="D536" s="2" t="str">
        <f t="shared" si="24"/>
        <v>Mar</v>
      </c>
      <c r="E536" s="2" t="str">
        <f t="shared" si="25"/>
        <v>2021</v>
      </c>
      <c r="F536" s="1">
        <v>127</v>
      </c>
      <c r="G536" s="1">
        <v>88</v>
      </c>
      <c r="H536" s="1">
        <v>11</v>
      </c>
      <c r="I536" s="1">
        <v>155</v>
      </c>
      <c r="J536" s="1">
        <v>34.5</v>
      </c>
      <c r="K536" s="1">
        <v>0.59799999999999998</v>
      </c>
      <c r="L536" s="1">
        <v>28</v>
      </c>
      <c r="M536" s="1">
        <v>0</v>
      </c>
      <c r="N536" s="1" t="s">
        <v>46</v>
      </c>
      <c r="O536" s="1" t="str">
        <f t="shared" si="26"/>
        <v>Young</v>
      </c>
    </row>
    <row r="537" spans="1:15" x14ac:dyDescent="0.3">
      <c r="A537" s="1">
        <v>9029</v>
      </c>
      <c r="B537" s="1" t="s">
        <v>8</v>
      </c>
      <c r="C537" s="2">
        <v>45098</v>
      </c>
      <c r="D537" s="2" t="str">
        <f t="shared" si="24"/>
        <v>Jun</v>
      </c>
      <c r="E537" s="2" t="str">
        <f t="shared" si="25"/>
        <v>2023</v>
      </c>
      <c r="F537" s="1">
        <v>118</v>
      </c>
      <c r="G537" s="1">
        <v>70</v>
      </c>
      <c r="H537" s="1">
        <v>37</v>
      </c>
      <c r="I537" s="1">
        <v>14</v>
      </c>
      <c r="J537" s="1">
        <v>44.5</v>
      </c>
      <c r="K537" s="1">
        <v>0.90400000000000003</v>
      </c>
      <c r="L537" s="1">
        <v>26</v>
      </c>
      <c r="M537" s="1">
        <v>0</v>
      </c>
      <c r="N537" s="1" t="s">
        <v>46</v>
      </c>
      <c r="O537" s="1" t="str">
        <f t="shared" si="26"/>
        <v>Young</v>
      </c>
    </row>
    <row r="538" spans="1:15" x14ac:dyDescent="0.3">
      <c r="A538" s="1">
        <v>6756</v>
      </c>
      <c r="B538" s="1" t="s">
        <v>8</v>
      </c>
      <c r="C538" s="2">
        <v>45124</v>
      </c>
      <c r="D538" s="2" t="str">
        <f t="shared" si="24"/>
        <v>Jul</v>
      </c>
      <c r="E538" s="2" t="str">
        <f t="shared" si="25"/>
        <v>2023</v>
      </c>
      <c r="F538" s="1">
        <v>122</v>
      </c>
      <c r="G538" s="1">
        <v>76</v>
      </c>
      <c r="H538" s="1">
        <v>27</v>
      </c>
      <c r="I538" s="1">
        <v>200</v>
      </c>
      <c r="J538" s="1">
        <v>35.9</v>
      </c>
      <c r="K538" s="1">
        <v>0.48299999999999998</v>
      </c>
      <c r="L538" s="1">
        <v>26</v>
      </c>
      <c r="M538" s="1">
        <v>0</v>
      </c>
      <c r="N538" s="1" t="s">
        <v>46</v>
      </c>
      <c r="O538" s="1" t="str">
        <f t="shared" si="26"/>
        <v>Young</v>
      </c>
    </row>
    <row r="539" spans="1:15" x14ac:dyDescent="0.3">
      <c r="A539" s="1">
        <v>4789</v>
      </c>
      <c r="B539" s="1" t="s">
        <v>8</v>
      </c>
      <c r="C539" s="2">
        <v>45440</v>
      </c>
      <c r="D539" s="2" t="str">
        <f t="shared" si="24"/>
        <v>May</v>
      </c>
      <c r="E539" s="2" t="str">
        <f t="shared" si="25"/>
        <v>2024</v>
      </c>
      <c r="F539" s="1">
        <v>110</v>
      </c>
      <c r="G539" s="1">
        <v>76</v>
      </c>
      <c r="H539" s="1">
        <v>20</v>
      </c>
      <c r="I539" s="1">
        <v>100</v>
      </c>
      <c r="J539" s="1">
        <v>28.4</v>
      </c>
      <c r="K539" s="1">
        <v>0.11799999999999999</v>
      </c>
      <c r="L539" s="1">
        <v>27</v>
      </c>
      <c r="M539" s="1">
        <v>0</v>
      </c>
      <c r="N539" s="1" t="s">
        <v>46</v>
      </c>
      <c r="O539" s="1" t="str">
        <f t="shared" si="26"/>
        <v>Young</v>
      </c>
    </row>
    <row r="540" spans="1:15" x14ac:dyDescent="0.3">
      <c r="A540" s="1">
        <v>6318</v>
      </c>
      <c r="B540" s="1" t="s">
        <v>8</v>
      </c>
      <c r="C540" s="2">
        <v>44977</v>
      </c>
      <c r="D540" s="2" t="str">
        <f t="shared" si="24"/>
        <v>Feb</v>
      </c>
      <c r="E540" s="2" t="str">
        <f t="shared" si="25"/>
        <v>2023</v>
      </c>
      <c r="F540" s="1">
        <v>127</v>
      </c>
      <c r="G540" s="1">
        <v>46</v>
      </c>
      <c r="H540" s="1">
        <v>21</v>
      </c>
      <c r="I540" s="1">
        <v>335</v>
      </c>
      <c r="J540" s="1">
        <v>34.4</v>
      </c>
      <c r="K540" s="1">
        <v>0.17599999999999999</v>
      </c>
      <c r="L540" s="1">
        <v>22</v>
      </c>
      <c r="M540" s="1">
        <v>0</v>
      </c>
      <c r="N540" s="1" t="s">
        <v>46</v>
      </c>
      <c r="O540" s="1" t="str">
        <f t="shared" si="26"/>
        <v>Young</v>
      </c>
    </row>
    <row r="541" spans="1:15" x14ac:dyDescent="0.3">
      <c r="A541" s="1">
        <v>1992</v>
      </c>
      <c r="B541" s="1" t="s">
        <v>9</v>
      </c>
      <c r="C541" s="2">
        <v>45060</v>
      </c>
      <c r="D541" s="2" t="str">
        <f t="shared" si="24"/>
        <v>May</v>
      </c>
      <c r="E541" s="2" t="str">
        <f t="shared" si="25"/>
        <v>2023</v>
      </c>
      <c r="F541" s="1">
        <v>164</v>
      </c>
      <c r="G541" s="1">
        <v>78</v>
      </c>
      <c r="H541" s="1">
        <v>37</v>
      </c>
      <c r="I541" s="1">
        <v>14</v>
      </c>
      <c r="J541" s="1">
        <v>32.799999999999997</v>
      </c>
      <c r="K541" s="1">
        <v>0.14799999999999999</v>
      </c>
      <c r="L541" s="1">
        <v>45</v>
      </c>
      <c r="M541" s="1">
        <v>1</v>
      </c>
      <c r="N541" s="1" t="s">
        <v>45</v>
      </c>
      <c r="O541" s="1" t="str">
        <f t="shared" si="26"/>
        <v>Middle-Aged</v>
      </c>
    </row>
    <row r="542" spans="1:15" x14ac:dyDescent="0.3">
      <c r="A542" s="1">
        <v>6774</v>
      </c>
      <c r="B542" s="1" t="s">
        <v>8</v>
      </c>
      <c r="C542" s="2">
        <v>44514</v>
      </c>
      <c r="D542" s="2" t="str">
        <f t="shared" si="24"/>
        <v>Nov</v>
      </c>
      <c r="E542" s="2" t="str">
        <f t="shared" si="25"/>
        <v>2021</v>
      </c>
      <c r="F542" s="1">
        <v>93</v>
      </c>
      <c r="G542" s="1">
        <v>64</v>
      </c>
      <c r="H542" s="1">
        <v>32</v>
      </c>
      <c r="I542" s="1">
        <v>160</v>
      </c>
      <c r="J542" s="1">
        <v>38</v>
      </c>
      <c r="K542" s="1">
        <v>0.67400000000000004</v>
      </c>
      <c r="L542" s="1">
        <v>23</v>
      </c>
      <c r="M542" s="1">
        <v>1</v>
      </c>
      <c r="N542" s="1" t="s">
        <v>45</v>
      </c>
      <c r="O542" s="1" t="str">
        <f t="shared" si="26"/>
        <v>Young</v>
      </c>
    </row>
    <row r="543" spans="1:15" x14ac:dyDescent="0.3">
      <c r="A543" s="1">
        <v>4032</v>
      </c>
      <c r="B543" s="1" t="s">
        <v>9</v>
      </c>
      <c r="C543" s="2">
        <v>44322</v>
      </c>
      <c r="D543" s="2" t="str">
        <f t="shared" si="24"/>
        <v>May</v>
      </c>
      <c r="E543" s="2" t="str">
        <f t="shared" si="25"/>
        <v>2021</v>
      </c>
      <c r="F543" s="1">
        <v>158</v>
      </c>
      <c r="G543" s="1">
        <v>64</v>
      </c>
      <c r="H543" s="1">
        <v>13</v>
      </c>
      <c r="I543" s="1">
        <v>387</v>
      </c>
      <c r="J543" s="1">
        <v>31.2</v>
      </c>
      <c r="K543" s="1">
        <v>0.29499999999999998</v>
      </c>
      <c r="L543" s="1">
        <v>24</v>
      </c>
      <c r="M543" s="1">
        <v>0</v>
      </c>
      <c r="N543" s="1" t="s">
        <v>46</v>
      </c>
      <c r="O543" s="1" t="str">
        <f t="shared" si="26"/>
        <v>Young</v>
      </c>
    </row>
    <row r="544" spans="1:15" x14ac:dyDescent="0.3">
      <c r="A544" s="1">
        <v>9386</v>
      </c>
      <c r="B544" s="1" t="s">
        <v>9</v>
      </c>
      <c r="C544" s="2">
        <v>45487</v>
      </c>
      <c r="D544" s="2" t="str">
        <f t="shared" si="24"/>
        <v>Jul</v>
      </c>
      <c r="E544" s="2" t="str">
        <f t="shared" si="25"/>
        <v>2024</v>
      </c>
      <c r="F544" s="1">
        <v>126</v>
      </c>
      <c r="G544" s="1">
        <v>78</v>
      </c>
      <c r="H544" s="1">
        <v>27</v>
      </c>
      <c r="I544" s="1">
        <v>22</v>
      </c>
      <c r="J544" s="1">
        <v>29.6</v>
      </c>
      <c r="K544" s="1">
        <v>0.439</v>
      </c>
      <c r="L544" s="1">
        <v>40</v>
      </c>
      <c r="M544" s="1">
        <v>0</v>
      </c>
      <c r="N544" s="1" t="s">
        <v>46</v>
      </c>
      <c r="O544" s="1" t="str">
        <f t="shared" si="26"/>
        <v>Middle-Aged</v>
      </c>
    </row>
    <row r="545" spans="1:15" x14ac:dyDescent="0.3">
      <c r="A545" s="1">
        <v>7127</v>
      </c>
      <c r="B545" s="1" t="s">
        <v>8</v>
      </c>
      <c r="C545" s="2">
        <v>44544</v>
      </c>
      <c r="D545" s="2" t="str">
        <f t="shared" si="24"/>
        <v>Dec</v>
      </c>
      <c r="E545" s="2" t="str">
        <f t="shared" si="25"/>
        <v>2021</v>
      </c>
      <c r="F545" s="1">
        <v>134</v>
      </c>
      <c r="G545" s="1">
        <v>58</v>
      </c>
      <c r="H545" s="1">
        <v>20</v>
      </c>
      <c r="I545" s="1">
        <v>291</v>
      </c>
      <c r="J545" s="1">
        <v>26.4</v>
      </c>
      <c r="K545" s="1">
        <v>0.35199999999999998</v>
      </c>
      <c r="L545" s="1">
        <v>21</v>
      </c>
      <c r="M545" s="1">
        <v>0</v>
      </c>
      <c r="N545" s="1" t="s">
        <v>46</v>
      </c>
      <c r="O545" s="1" t="str">
        <f t="shared" si="26"/>
        <v>Young</v>
      </c>
    </row>
    <row r="546" spans="1:15" x14ac:dyDescent="0.3">
      <c r="A546" s="1">
        <v>5373</v>
      </c>
      <c r="B546" s="1" t="s">
        <v>9</v>
      </c>
      <c r="C546" s="2">
        <v>44661</v>
      </c>
      <c r="D546" s="2" t="str">
        <f t="shared" si="24"/>
        <v>Apr</v>
      </c>
      <c r="E546" s="2" t="str">
        <f t="shared" si="25"/>
        <v>2022</v>
      </c>
      <c r="F546" s="1">
        <v>102</v>
      </c>
      <c r="G546" s="1">
        <v>74</v>
      </c>
      <c r="H546" s="1">
        <v>37</v>
      </c>
      <c r="I546" s="1">
        <v>14</v>
      </c>
      <c r="J546" s="1">
        <v>29.5</v>
      </c>
      <c r="K546" s="1">
        <v>0.121</v>
      </c>
      <c r="L546" s="1">
        <v>32</v>
      </c>
      <c r="M546" s="1">
        <v>0</v>
      </c>
      <c r="N546" s="1" t="s">
        <v>46</v>
      </c>
      <c r="O546" s="1" t="str">
        <f t="shared" si="26"/>
        <v>Young</v>
      </c>
    </row>
    <row r="547" spans="1:15" x14ac:dyDescent="0.3">
      <c r="A547" s="1">
        <v>2176</v>
      </c>
      <c r="B547" s="1" t="s">
        <v>9</v>
      </c>
      <c r="C547" s="2">
        <v>45126</v>
      </c>
      <c r="D547" s="2" t="str">
        <f t="shared" si="24"/>
        <v>Jul</v>
      </c>
      <c r="E547" s="2" t="str">
        <f t="shared" si="25"/>
        <v>2023</v>
      </c>
      <c r="F547" s="1">
        <v>187</v>
      </c>
      <c r="G547" s="1">
        <v>50</v>
      </c>
      <c r="H547" s="1">
        <v>33</v>
      </c>
      <c r="I547" s="1">
        <v>392</v>
      </c>
      <c r="J547" s="1">
        <v>33.9</v>
      </c>
      <c r="K547" s="1">
        <v>0.82599999999999996</v>
      </c>
      <c r="L547" s="1">
        <v>34</v>
      </c>
      <c r="M547" s="1">
        <v>1</v>
      </c>
      <c r="N547" s="1" t="s">
        <v>45</v>
      </c>
      <c r="O547" s="1" t="str">
        <f t="shared" si="26"/>
        <v>Young</v>
      </c>
    </row>
    <row r="548" spans="1:15" x14ac:dyDescent="0.3">
      <c r="A548" s="1">
        <v>6555</v>
      </c>
      <c r="B548" s="1" t="s">
        <v>9</v>
      </c>
      <c r="C548" s="2">
        <v>44389</v>
      </c>
      <c r="D548" s="2" t="str">
        <f t="shared" si="24"/>
        <v>Jul</v>
      </c>
      <c r="E548" s="2" t="str">
        <f t="shared" si="25"/>
        <v>2021</v>
      </c>
      <c r="F548" s="1">
        <v>173</v>
      </c>
      <c r="G548" s="1">
        <v>78</v>
      </c>
      <c r="H548" s="1">
        <v>39</v>
      </c>
      <c r="I548" s="1">
        <v>185</v>
      </c>
      <c r="J548" s="1">
        <v>33.799999999999997</v>
      </c>
      <c r="K548" s="1">
        <v>0.97</v>
      </c>
      <c r="L548" s="1">
        <v>31</v>
      </c>
      <c r="M548" s="1">
        <v>1</v>
      </c>
      <c r="N548" s="1" t="s">
        <v>45</v>
      </c>
      <c r="O548" s="1" t="str">
        <f t="shared" si="26"/>
        <v>Young</v>
      </c>
    </row>
    <row r="549" spans="1:15" x14ac:dyDescent="0.3">
      <c r="A549" s="1">
        <v>4737</v>
      </c>
      <c r="B549" s="1" t="s">
        <v>9</v>
      </c>
      <c r="C549" s="2">
        <v>44723</v>
      </c>
      <c r="D549" s="2" t="str">
        <f t="shared" si="24"/>
        <v>Jun</v>
      </c>
      <c r="E549" s="2" t="str">
        <f t="shared" si="25"/>
        <v>2022</v>
      </c>
      <c r="F549" s="1">
        <v>108</v>
      </c>
      <c r="G549" s="1">
        <v>60</v>
      </c>
      <c r="H549" s="1">
        <v>46</v>
      </c>
      <c r="I549" s="1">
        <v>178</v>
      </c>
      <c r="J549" s="1">
        <v>35.5</v>
      </c>
      <c r="K549" s="1">
        <v>0.41499999999999998</v>
      </c>
      <c r="L549" s="1">
        <v>24</v>
      </c>
      <c r="M549" s="1">
        <v>0</v>
      </c>
      <c r="N549" s="1" t="s">
        <v>46</v>
      </c>
      <c r="O549" s="1" t="str">
        <f t="shared" si="26"/>
        <v>Young</v>
      </c>
    </row>
    <row r="550" spans="1:15" x14ac:dyDescent="0.3">
      <c r="A550" s="1">
        <v>7306</v>
      </c>
      <c r="B550" s="1" t="s">
        <v>9</v>
      </c>
      <c r="C550" s="2">
        <v>45402</v>
      </c>
      <c r="D550" s="2" t="str">
        <f t="shared" si="24"/>
        <v>Apr</v>
      </c>
      <c r="E550" s="2" t="str">
        <f t="shared" si="25"/>
        <v>2024</v>
      </c>
      <c r="F550" s="1">
        <v>114</v>
      </c>
      <c r="G550" s="1">
        <v>66</v>
      </c>
      <c r="H550" s="1">
        <v>36</v>
      </c>
      <c r="I550" s="1">
        <v>200</v>
      </c>
      <c r="J550" s="1">
        <v>38.1</v>
      </c>
      <c r="K550" s="1">
        <v>0.28899999999999998</v>
      </c>
      <c r="L550" s="1">
        <v>21</v>
      </c>
      <c r="M550" s="1">
        <v>0</v>
      </c>
      <c r="N550" s="1" t="s">
        <v>46</v>
      </c>
      <c r="O550" s="1" t="str">
        <f t="shared" si="26"/>
        <v>Young</v>
      </c>
    </row>
    <row r="551" spans="1:15" x14ac:dyDescent="0.3">
      <c r="A551" s="1">
        <v>8208</v>
      </c>
      <c r="B551" s="1" t="s">
        <v>9</v>
      </c>
      <c r="C551" s="2">
        <v>45586</v>
      </c>
      <c r="D551" s="2" t="str">
        <f t="shared" si="24"/>
        <v>Oct</v>
      </c>
      <c r="E551" s="2" t="str">
        <f t="shared" si="25"/>
        <v>2024</v>
      </c>
      <c r="F551" s="1">
        <v>149</v>
      </c>
      <c r="G551" s="1">
        <v>68</v>
      </c>
      <c r="H551" s="1">
        <v>29</v>
      </c>
      <c r="I551" s="1">
        <v>127</v>
      </c>
      <c r="J551" s="1">
        <v>29.3</v>
      </c>
      <c r="K551" s="1">
        <v>0.34899999999999998</v>
      </c>
      <c r="L551" s="1">
        <v>42</v>
      </c>
      <c r="M551" s="1">
        <v>1</v>
      </c>
      <c r="N551" s="1" t="s">
        <v>45</v>
      </c>
      <c r="O551" s="1" t="str">
        <f t="shared" si="26"/>
        <v>Middle-Aged</v>
      </c>
    </row>
    <row r="552" spans="1:15" x14ac:dyDescent="0.3">
      <c r="A552" s="1">
        <v>8605</v>
      </c>
      <c r="B552" s="1" t="s">
        <v>9</v>
      </c>
      <c r="C552" s="2">
        <v>44891</v>
      </c>
      <c r="D552" s="2" t="str">
        <f t="shared" si="24"/>
        <v>Nov</v>
      </c>
      <c r="E552" s="2" t="str">
        <f t="shared" si="25"/>
        <v>2022</v>
      </c>
      <c r="F552" s="1">
        <v>117</v>
      </c>
      <c r="G552" s="1">
        <v>86</v>
      </c>
      <c r="H552" s="1">
        <v>30</v>
      </c>
      <c r="I552" s="1">
        <v>105</v>
      </c>
      <c r="J552" s="1">
        <v>39.1</v>
      </c>
      <c r="K552" s="1">
        <v>0.251</v>
      </c>
      <c r="L552" s="1">
        <v>42</v>
      </c>
      <c r="M552" s="1">
        <v>0</v>
      </c>
      <c r="N552" s="1" t="s">
        <v>46</v>
      </c>
      <c r="O552" s="1" t="str">
        <f t="shared" si="26"/>
        <v>Middle-Aged</v>
      </c>
    </row>
    <row r="553" spans="1:15" x14ac:dyDescent="0.3">
      <c r="A553" s="1">
        <v>5792</v>
      </c>
      <c r="B553" s="1" t="s">
        <v>9</v>
      </c>
      <c r="C553" s="2">
        <v>44403</v>
      </c>
      <c r="D553" s="2" t="str">
        <f t="shared" si="24"/>
        <v>Jul</v>
      </c>
      <c r="E553" s="2" t="str">
        <f t="shared" si="25"/>
        <v>2021</v>
      </c>
      <c r="F553" s="1">
        <v>111</v>
      </c>
      <c r="G553" s="1">
        <v>94</v>
      </c>
      <c r="H553" s="1">
        <v>37</v>
      </c>
      <c r="I553" s="1">
        <v>14</v>
      </c>
      <c r="J553" s="1">
        <v>32.799999999999997</v>
      </c>
      <c r="K553" s="1">
        <v>0.26500000000000001</v>
      </c>
      <c r="L553" s="1">
        <v>45</v>
      </c>
      <c r="M553" s="1">
        <v>0</v>
      </c>
      <c r="N553" s="1" t="s">
        <v>46</v>
      </c>
      <c r="O553" s="1" t="str">
        <f t="shared" si="26"/>
        <v>Middle-Aged</v>
      </c>
    </row>
    <row r="554" spans="1:15" x14ac:dyDescent="0.3">
      <c r="A554" s="1">
        <v>4572</v>
      </c>
      <c r="B554" s="1" t="s">
        <v>9</v>
      </c>
      <c r="C554" s="2">
        <v>45097</v>
      </c>
      <c r="D554" s="2" t="str">
        <f t="shared" si="24"/>
        <v>Jun</v>
      </c>
      <c r="E554" s="2" t="str">
        <f t="shared" si="25"/>
        <v>2023</v>
      </c>
      <c r="F554" s="1">
        <v>116</v>
      </c>
      <c r="G554" s="1">
        <v>78</v>
      </c>
      <c r="H554" s="1">
        <v>29</v>
      </c>
      <c r="I554" s="1">
        <v>180</v>
      </c>
      <c r="J554" s="1">
        <v>36.1</v>
      </c>
      <c r="K554" s="1">
        <v>0.496</v>
      </c>
      <c r="L554" s="1">
        <v>25</v>
      </c>
      <c r="M554" s="1">
        <v>0</v>
      </c>
      <c r="N554" s="1" t="s">
        <v>46</v>
      </c>
      <c r="O554" s="1" t="str">
        <f t="shared" si="26"/>
        <v>Young</v>
      </c>
    </row>
    <row r="555" spans="1:15" x14ac:dyDescent="0.3">
      <c r="A555" s="1">
        <v>3726</v>
      </c>
      <c r="B555" s="1" t="s">
        <v>8</v>
      </c>
      <c r="C555" s="2">
        <v>45638</v>
      </c>
      <c r="D555" s="2" t="str">
        <f t="shared" si="24"/>
        <v>Dec</v>
      </c>
      <c r="E555" s="2" t="str">
        <f t="shared" si="25"/>
        <v>2024</v>
      </c>
      <c r="F555" s="1">
        <v>175</v>
      </c>
      <c r="G555" s="1">
        <v>88</v>
      </c>
      <c r="H555" s="1">
        <v>37</v>
      </c>
      <c r="I555" s="1">
        <v>14</v>
      </c>
      <c r="J555" s="1">
        <v>22.9</v>
      </c>
      <c r="K555" s="1">
        <v>0.32600000000000001</v>
      </c>
      <c r="L555" s="1">
        <v>22</v>
      </c>
      <c r="M555" s="1">
        <v>0</v>
      </c>
      <c r="N555" s="1" t="s">
        <v>46</v>
      </c>
      <c r="O555" s="1" t="str">
        <f t="shared" si="26"/>
        <v>Young</v>
      </c>
    </row>
    <row r="556" spans="1:15" x14ac:dyDescent="0.3">
      <c r="A556" s="1">
        <v>5811</v>
      </c>
      <c r="B556" s="1" t="s">
        <v>8</v>
      </c>
      <c r="C556" s="2">
        <v>44514</v>
      </c>
      <c r="D556" s="2" t="str">
        <f t="shared" si="24"/>
        <v>Nov</v>
      </c>
      <c r="E556" s="2" t="str">
        <f t="shared" si="25"/>
        <v>2021</v>
      </c>
      <c r="F556" s="1">
        <v>92</v>
      </c>
      <c r="G556" s="1">
        <v>52</v>
      </c>
      <c r="H556" s="1">
        <v>37</v>
      </c>
      <c r="I556" s="1">
        <v>14</v>
      </c>
      <c r="J556" s="1">
        <v>30.1</v>
      </c>
      <c r="K556" s="1">
        <v>0.14099999999999999</v>
      </c>
      <c r="L556" s="1">
        <v>22</v>
      </c>
      <c r="M556" s="1">
        <v>0</v>
      </c>
      <c r="N556" s="1" t="s">
        <v>46</v>
      </c>
      <c r="O556" s="1" t="str">
        <f t="shared" si="26"/>
        <v>Young</v>
      </c>
    </row>
    <row r="557" spans="1:15" x14ac:dyDescent="0.3">
      <c r="A557" s="1">
        <v>5569</v>
      </c>
      <c r="B557" s="1" t="s">
        <v>9</v>
      </c>
      <c r="C557" s="2">
        <v>44699</v>
      </c>
      <c r="D557" s="2" t="str">
        <f t="shared" si="24"/>
        <v>May</v>
      </c>
      <c r="E557" s="2" t="str">
        <f t="shared" si="25"/>
        <v>2022</v>
      </c>
      <c r="F557" s="1">
        <v>130</v>
      </c>
      <c r="G557" s="1">
        <v>78</v>
      </c>
      <c r="H557" s="1">
        <v>23</v>
      </c>
      <c r="I557" s="1">
        <v>79</v>
      </c>
      <c r="J557" s="1">
        <v>28.4</v>
      </c>
      <c r="K557" s="1">
        <v>0.32300000000000001</v>
      </c>
      <c r="L557" s="1">
        <v>34</v>
      </c>
      <c r="M557" s="1">
        <v>1</v>
      </c>
      <c r="N557" s="1" t="s">
        <v>45</v>
      </c>
      <c r="O557" s="1" t="str">
        <f t="shared" si="26"/>
        <v>Young</v>
      </c>
    </row>
    <row r="558" spans="1:15" x14ac:dyDescent="0.3">
      <c r="A558" s="1">
        <v>3186</v>
      </c>
      <c r="B558" s="1" t="s">
        <v>8</v>
      </c>
      <c r="C558" s="2">
        <v>44777</v>
      </c>
      <c r="D558" s="2" t="str">
        <f t="shared" si="24"/>
        <v>Aug</v>
      </c>
      <c r="E558" s="2" t="str">
        <f t="shared" si="25"/>
        <v>2022</v>
      </c>
      <c r="F558" s="1">
        <v>120</v>
      </c>
      <c r="G558" s="1">
        <v>86</v>
      </c>
      <c r="H558" s="1">
        <v>37</v>
      </c>
      <c r="I558" s="1">
        <v>14</v>
      </c>
      <c r="J558" s="1">
        <v>28.4</v>
      </c>
      <c r="K558" s="1">
        <v>0.25900000000000001</v>
      </c>
      <c r="L558" s="1">
        <v>22</v>
      </c>
      <c r="M558" s="1">
        <v>1</v>
      </c>
      <c r="N558" s="1" t="s">
        <v>45</v>
      </c>
      <c r="O558" s="1" t="str">
        <f t="shared" si="26"/>
        <v>Young</v>
      </c>
    </row>
    <row r="559" spans="1:15" x14ac:dyDescent="0.3">
      <c r="A559" s="1">
        <v>4888</v>
      </c>
      <c r="B559" s="1" t="s">
        <v>8</v>
      </c>
      <c r="C559" s="2">
        <v>44854</v>
      </c>
      <c r="D559" s="2" t="str">
        <f t="shared" si="24"/>
        <v>Oct</v>
      </c>
      <c r="E559" s="2" t="str">
        <f t="shared" si="25"/>
        <v>2022</v>
      </c>
      <c r="F559" s="1">
        <v>174</v>
      </c>
      <c r="G559" s="1">
        <v>88</v>
      </c>
      <c r="H559" s="1">
        <v>37</v>
      </c>
      <c r="I559" s="1">
        <v>120</v>
      </c>
      <c r="J559" s="1">
        <v>44.5</v>
      </c>
      <c r="K559" s="1">
        <v>0.64600000000000002</v>
      </c>
      <c r="L559" s="1">
        <v>24</v>
      </c>
      <c r="M559" s="1">
        <v>1</v>
      </c>
      <c r="N559" s="1" t="s">
        <v>45</v>
      </c>
      <c r="O559" s="1" t="str">
        <f t="shared" si="26"/>
        <v>Young</v>
      </c>
    </row>
    <row r="560" spans="1:15" x14ac:dyDescent="0.3">
      <c r="A560" s="1">
        <v>3182</v>
      </c>
      <c r="B560" s="1" t="s">
        <v>8</v>
      </c>
      <c r="C560" s="2">
        <v>45308</v>
      </c>
      <c r="D560" s="2" t="str">
        <f t="shared" si="24"/>
        <v>Jan</v>
      </c>
      <c r="E560" s="2" t="str">
        <f t="shared" si="25"/>
        <v>2024</v>
      </c>
      <c r="F560" s="1">
        <v>106</v>
      </c>
      <c r="G560" s="1">
        <v>56</v>
      </c>
      <c r="H560" s="1">
        <v>27</v>
      </c>
      <c r="I560" s="1">
        <v>165</v>
      </c>
      <c r="J560" s="1">
        <v>29</v>
      </c>
      <c r="K560" s="1">
        <v>0.42599999999999999</v>
      </c>
      <c r="L560" s="1">
        <v>22</v>
      </c>
      <c r="M560" s="1">
        <v>0</v>
      </c>
      <c r="N560" s="1" t="s">
        <v>46</v>
      </c>
      <c r="O560" s="1" t="str">
        <f t="shared" si="26"/>
        <v>Young</v>
      </c>
    </row>
    <row r="561" spans="1:15" x14ac:dyDescent="0.3">
      <c r="A561" s="1">
        <v>7328</v>
      </c>
      <c r="B561" s="1" t="s">
        <v>8</v>
      </c>
      <c r="C561" s="2">
        <v>44441</v>
      </c>
      <c r="D561" s="2" t="str">
        <f t="shared" si="24"/>
        <v>Sep</v>
      </c>
      <c r="E561" s="2" t="str">
        <f t="shared" si="25"/>
        <v>2021</v>
      </c>
      <c r="F561" s="1">
        <v>105</v>
      </c>
      <c r="G561" s="1">
        <v>75</v>
      </c>
      <c r="H561" s="1">
        <v>37</v>
      </c>
      <c r="I561" s="1">
        <v>14</v>
      </c>
      <c r="J561" s="1">
        <v>23.3</v>
      </c>
      <c r="K561" s="1">
        <v>0.56000000000000005</v>
      </c>
      <c r="L561" s="1">
        <v>53</v>
      </c>
      <c r="M561" s="1">
        <v>0</v>
      </c>
      <c r="N561" s="1" t="s">
        <v>46</v>
      </c>
      <c r="O561" s="1" t="str">
        <f t="shared" si="26"/>
        <v>Old</v>
      </c>
    </row>
    <row r="562" spans="1:15" x14ac:dyDescent="0.3">
      <c r="A562" s="1">
        <v>6331</v>
      </c>
      <c r="B562" s="1" t="s">
        <v>8</v>
      </c>
      <c r="C562" s="2">
        <v>44713</v>
      </c>
      <c r="D562" s="2" t="str">
        <f t="shared" si="24"/>
        <v>Jun</v>
      </c>
      <c r="E562" s="2" t="str">
        <f t="shared" si="25"/>
        <v>2022</v>
      </c>
      <c r="F562" s="1">
        <v>126</v>
      </c>
      <c r="G562" s="1">
        <v>86</v>
      </c>
      <c r="H562" s="1">
        <v>27</v>
      </c>
      <c r="I562" s="1">
        <v>120</v>
      </c>
      <c r="J562" s="1">
        <v>27.4</v>
      </c>
      <c r="K562" s="1">
        <v>0.51500000000000001</v>
      </c>
      <c r="L562" s="1">
        <v>21</v>
      </c>
      <c r="M562" s="1">
        <v>0</v>
      </c>
      <c r="N562" s="1" t="s">
        <v>46</v>
      </c>
      <c r="O562" s="1" t="str">
        <f t="shared" si="26"/>
        <v>Young</v>
      </c>
    </row>
    <row r="563" spans="1:15" x14ac:dyDescent="0.3">
      <c r="A563" s="1">
        <v>6383</v>
      </c>
      <c r="B563" s="1" t="s">
        <v>8</v>
      </c>
      <c r="C563" s="2">
        <v>45464</v>
      </c>
      <c r="D563" s="2" t="str">
        <f t="shared" si="24"/>
        <v>Jun</v>
      </c>
      <c r="E563" s="2" t="str">
        <f t="shared" si="25"/>
        <v>2024</v>
      </c>
      <c r="F563" s="1">
        <v>99</v>
      </c>
      <c r="G563" s="1">
        <v>60</v>
      </c>
      <c r="H563" s="1">
        <v>17</v>
      </c>
      <c r="I563" s="1">
        <v>160</v>
      </c>
      <c r="J563" s="1">
        <v>36.6</v>
      </c>
      <c r="K563" s="1">
        <v>0.45300000000000001</v>
      </c>
      <c r="L563" s="1">
        <v>21</v>
      </c>
      <c r="M563" s="1">
        <v>0</v>
      </c>
      <c r="N563" s="1" t="s">
        <v>46</v>
      </c>
      <c r="O563" s="1" t="str">
        <f t="shared" si="26"/>
        <v>Young</v>
      </c>
    </row>
    <row r="564" spans="1:15" x14ac:dyDescent="0.3">
      <c r="A564" s="1">
        <v>6717</v>
      </c>
      <c r="B564" s="1" t="s">
        <v>9</v>
      </c>
      <c r="C564" s="2">
        <v>45593</v>
      </c>
      <c r="D564" s="2" t="str">
        <f t="shared" si="24"/>
        <v>Oct</v>
      </c>
      <c r="E564" s="2" t="str">
        <f t="shared" si="25"/>
        <v>2024</v>
      </c>
      <c r="F564" s="1">
        <v>102</v>
      </c>
      <c r="G564" s="1">
        <v>74</v>
      </c>
      <c r="H564" s="1">
        <v>37</v>
      </c>
      <c r="I564" s="1">
        <v>14</v>
      </c>
      <c r="J564" s="1">
        <v>39.5</v>
      </c>
      <c r="K564" s="1">
        <v>0.29299999999999998</v>
      </c>
      <c r="L564" s="1">
        <v>42</v>
      </c>
      <c r="M564" s="1">
        <v>1</v>
      </c>
      <c r="N564" s="1" t="s">
        <v>45</v>
      </c>
      <c r="O564" s="1" t="str">
        <f t="shared" si="26"/>
        <v>Middle-Aged</v>
      </c>
    </row>
    <row r="565" spans="1:15" x14ac:dyDescent="0.3">
      <c r="A565" s="1">
        <v>6967</v>
      </c>
      <c r="B565" s="1" t="s">
        <v>9</v>
      </c>
      <c r="C565" s="2">
        <v>45460</v>
      </c>
      <c r="D565" s="2" t="str">
        <f t="shared" si="24"/>
        <v>Jun</v>
      </c>
      <c r="E565" s="2" t="str">
        <f t="shared" si="25"/>
        <v>2024</v>
      </c>
      <c r="F565" s="1">
        <v>120</v>
      </c>
      <c r="G565" s="1">
        <v>80</v>
      </c>
      <c r="H565" s="1">
        <v>37</v>
      </c>
      <c r="I565" s="1">
        <v>150</v>
      </c>
      <c r="J565" s="1">
        <v>42.3</v>
      </c>
      <c r="K565" s="1">
        <v>0.78500000000000003</v>
      </c>
      <c r="L565" s="1">
        <v>48</v>
      </c>
      <c r="M565" s="1">
        <v>1</v>
      </c>
      <c r="N565" s="1" t="s">
        <v>45</v>
      </c>
      <c r="O565" s="1" t="str">
        <f t="shared" si="26"/>
        <v>Middle-Aged</v>
      </c>
    </row>
    <row r="566" spans="1:15" x14ac:dyDescent="0.3">
      <c r="A566" s="1">
        <v>1571</v>
      </c>
      <c r="B566" s="1" t="s">
        <v>9</v>
      </c>
      <c r="C566" s="2">
        <v>44203</v>
      </c>
      <c r="D566" s="2" t="str">
        <f t="shared" si="24"/>
        <v>Jan</v>
      </c>
      <c r="E566" s="2" t="str">
        <f t="shared" si="25"/>
        <v>2021</v>
      </c>
      <c r="F566" s="1">
        <v>102</v>
      </c>
      <c r="G566" s="1">
        <v>44</v>
      </c>
      <c r="H566" s="1">
        <v>20</v>
      </c>
      <c r="I566" s="1">
        <v>94</v>
      </c>
      <c r="J566" s="1">
        <v>30.8</v>
      </c>
      <c r="K566" s="1">
        <v>0.4</v>
      </c>
      <c r="L566" s="1">
        <v>26</v>
      </c>
      <c r="M566" s="1">
        <v>0</v>
      </c>
      <c r="N566" s="1" t="s">
        <v>46</v>
      </c>
      <c r="O566" s="1" t="str">
        <f t="shared" si="26"/>
        <v>Young</v>
      </c>
    </row>
    <row r="567" spans="1:15" x14ac:dyDescent="0.3">
      <c r="A567" s="1">
        <v>6696</v>
      </c>
      <c r="B567" s="1" t="s">
        <v>9</v>
      </c>
      <c r="C567" s="2">
        <v>44546</v>
      </c>
      <c r="D567" s="2" t="str">
        <f t="shared" si="24"/>
        <v>Dec</v>
      </c>
      <c r="E567" s="2" t="str">
        <f t="shared" si="25"/>
        <v>2021</v>
      </c>
      <c r="F567" s="1">
        <v>109</v>
      </c>
      <c r="G567" s="1">
        <v>58</v>
      </c>
      <c r="H567" s="1">
        <v>18</v>
      </c>
      <c r="I567" s="1">
        <v>116</v>
      </c>
      <c r="J567" s="1">
        <v>28.5</v>
      </c>
      <c r="K567" s="1">
        <v>0.219</v>
      </c>
      <c r="L567" s="1">
        <v>22</v>
      </c>
      <c r="M567" s="1">
        <v>0</v>
      </c>
      <c r="N567" s="1" t="s">
        <v>46</v>
      </c>
      <c r="O567" s="1" t="str">
        <f t="shared" si="26"/>
        <v>Young</v>
      </c>
    </row>
    <row r="568" spans="1:15" x14ac:dyDescent="0.3">
      <c r="A568" s="1">
        <v>1212</v>
      </c>
      <c r="B568" s="1" t="s">
        <v>9</v>
      </c>
      <c r="C568" s="2">
        <v>44283</v>
      </c>
      <c r="D568" s="2" t="str">
        <f t="shared" si="24"/>
        <v>Mar</v>
      </c>
      <c r="E568" s="2" t="str">
        <f t="shared" si="25"/>
        <v>2021</v>
      </c>
      <c r="F568" s="1">
        <v>140</v>
      </c>
      <c r="G568" s="1">
        <v>94</v>
      </c>
      <c r="H568" s="1">
        <v>37</v>
      </c>
      <c r="I568" s="1">
        <v>14</v>
      </c>
      <c r="J568" s="1">
        <v>32.700000000000003</v>
      </c>
      <c r="K568" s="1">
        <v>0.73399999999999999</v>
      </c>
      <c r="L568" s="1">
        <v>45</v>
      </c>
      <c r="M568" s="1">
        <v>1</v>
      </c>
      <c r="N568" s="1" t="s">
        <v>45</v>
      </c>
      <c r="O568" s="1" t="str">
        <f t="shared" si="26"/>
        <v>Middle-Aged</v>
      </c>
    </row>
    <row r="569" spans="1:15" x14ac:dyDescent="0.3">
      <c r="A569" s="1">
        <v>4707</v>
      </c>
      <c r="B569" s="1" t="s">
        <v>9</v>
      </c>
      <c r="C569" s="2">
        <v>44728</v>
      </c>
      <c r="D569" s="2" t="str">
        <f t="shared" si="24"/>
        <v>Jun</v>
      </c>
      <c r="E569" s="2" t="str">
        <f t="shared" si="25"/>
        <v>2022</v>
      </c>
      <c r="F569" s="1">
        <v>153</v>
      </c>
      <c r="G569" s="1">
        <v>88</v>
      </c>
      <c r="H569" s="1">
        <v>37</v>
      </c>
      <c r="I569" s="1">
        <v>140</v>
      </c>
      <c r="J569" s="1">
        <v>40.6</v>
      </c>
      <c r="K569" s="1">
        <v>1.1739999999999999</v>
      </c>
      <c r="L569" s="1">
        <v>39</v>
      </c>
      <c r="M569" s="1">
        <v>0</v>
      </c>
      <c r="N569" s="1" t="s">
        <v>46</v>
      </c>
      <c r="O569" s="1" t="str">
        <f t="shared" si="26"/>
        <v>Middle-Aged</v>
      </c>
    </row>
    <row r="570" spans="1:15" x14ac:dyDescent="0.3">
      <c r="A570" s="1">
        <v>4043</v>
      </c>
      <c r="B570" s="1" t="s">
        <v>8</v>
      </c>
      <c r="C570" s="2">
        <v>44825</v>
      </c>
      <c r="D570" s="2" t="str">
        <f t="shared" si="24"/>
        <v>Sep</v>
      </c>
      <c r="E570" s="2" t="str">
        <f t="shared" si="25"/>
        <v>2022</v>
      </c>
      <c r="F570" s="1">
        <v>100</v>
      </c>
      <c r="G570" s="1">
        <v>84</v>
      </c>
      <c r="H570" s="1">
        <v>33</v>
      </c>
      <c r="I570" s="1">
        <v>105</v>
      </c>
      <c r="J570" s="1">
        <v>30</v>
      </c>
      <c r="K570" s="1">
        <v>0.48799999999999999</v>
      </c>
      <c r="L570" s="1">
        <v>46</v>
      </c>
      <c r="M570" s="1">
        <v>0</v>
      </c>
      <c r="N570" s="1" t="s">
        <v>46</v>
      </c>
      <c r="O570" s="1" t="str">
        <f t="shared" si="26"/>
        <v>Middle-Aged</v>
      </c>
    </row>
    <row r="571" spans="1:15" x14ac:dyDescent="0.3">
      <c r="A571" s="1">
        <v>7909</v>
      </c>
      <c r="B571" s="1" t="s">
        <v>9</v>
      </c>
      <c r="C571" s="2">
        <v>44891</v>
      </c>
      <c r="D571" s="2" t="str">
        <f t="shared" si="24"/>
        <v>Nov</v>
      </c>
      <c r="E571" s="2" t="str">
        <f t="shared" si="25"/>
        <v>2022</v>
      </c>
      <c r="F571" s="1">
        <v>81</v>
      </c>
      <c r="G571" s="1">
        <v>74</v>
      </c>
      <c r="H571" s="1">
        <v>41</v>
      </c>
      <c r="I571" s="1">
        <v>57</v>
      </c>
      <c r="J571" s="1">
        <v>46.3</v>
      </c>
      <c r="K571" s="1">
        <v>1.0960000000000001</v>
      </c>
      <c r="L571" s="1">
        <v>32</v>
      </c>
      <c r="M571" s="1">
        <v>0</v>
      </c>
      <c r="N571" s="1" t="s">
        <v>46</v>
      </c>
      <c r="O571" s="1" t="str">
        <f t="shared" si="26"/>
        <v>Young</v>
      </c>
    </row>
    <row r="572" spans="1:15" x14ac:dyDescent="0.3">
      <c r="A572" s="1">
        <v>3470</v>
      </c>
      <c r="B572" s="1" t="s">
        <v>9</v>
      </c>
      <c r="C572" s="2">
        <v>44955</v>
      </c>
      <c r="D572" s="2" t="str">
        <f t="shared" si="24"/>
        <v>Jan</v>
      </c>
      <c r="E572" s="2" t="str">
        <f t="shared" si="25"/>
        <v>2023</v>
      </c>
      <c r="F572" s="1">
        <v>187</v>
      </c>
      <c r="G572" s="1">
        <v>70</v>
      </c>
      <c r="H572" s="1">
        <v>22</v>
      </c>
      <c r="I572" s="1">
        <v>200</v>
      </c>
      <c r="J572" s="1">
        <v>36.4</v>
      </c>
      <c r="K572" s="1">
        <v>0.40799999999999997</v>
      </c>
      <c r="L572" s="1">
        <v>36</v>
      </c>
      <c r="M572" s="1">
        <v>1</v>
      </c>
      <c r="N572" s="1" t="s">
        <v>45</v>
      </c>
      <c r="O572" s="1" t="str">
        <f t="shared" si="26"/>
        <v>Middle-Aged</v>
      </c>
    </row>
    <row r="573" spans="1:15" x14ac:dyDescent="0.3">
      <c r="A573" s="1">
        <v>4893</v>
      </c>
      <c r="B573" s="1" t="s">
        <v>8</v>
      </c>
      <c r="C573" s="2">
        <v>44711</v>
      </c>
      <c r="D573" s="2" t="str">
        <f t="shared" si="24"/>
        <v>May</v>
      </c>
      <c r="E573" s="2" t="str">
        <f t="shared" si="25"/>
        <v>2022</v>
      </c>
      <c r="F573" s="1">
        <v>162</v>
      </c>
      <c r="G573" s="1">
        <v>62</v>
      </c>
      <c r="H573" s="1">
        <v>37</v>
      </c>
      <c r="I573" s="1">
        <v>14</v>
      </c>
      <c r="J573" s="1">
        <v>24.3</v>
      </c>
      <c r="K573" s="1">
        <v>0.17799999999999999</v>
      </c>
      <c r="L573" s="1">
        <v>50</v>
      </c>
      <c r="M573" s="1">
        <v>1</v>
      </c>
      <c r="N573" s="1" t="s">
        <v>45</v>
      </c>
      <c r="O573" s="1" t="str">
        <f t="shared" si="26"/>
        <v>Middle-Aged</v>
      </c>
    </row>
    <row r="574" spans="1:15" x14ac:dyDescent="0.3">
      <c r="A574" s="1">
        <v>2185</v>
      </c>
      <c r="B574" s="1" t="s">
        <v>8</v>
      </c>
      <c r="C574" s="2">
        <v>45481</v>
      </c>
      <c r="D574" s="2" t="str">
        <f t="shared" si="24"/>
        <v>Jul</v>
      </c>
      <c r="E574" s="2" t="str">
        <f t="shared" si="25"/>
        <v>2024</v>
      </c>
      <c r="F574" s="1">
        <v>136</v>
      </c>
      <c r="G574" s="1">
        <v>70</v>
      </c>
      <c r="H574" s="1">
        <v>37</v>
      </c>
      <c r="I574" s="1">
        <v>14</v>
      </c>
      <c r="J574" s="1">
        <v>31.2</v>
      </c>
      <c r="K574" s="1">
        <v>1.1819999999999999</v>
      </c>
      <c r="L574" s="1">
        <v>22</v>
      </c>
      <c r="M574" s="1">
        <v>1</v>
      </c>
      <c r="N574" s="1" t="s">
        <v>45</v>
      </c>
      <c r="O574" s="1" t="str">
        <f t="shared" si="26"/>
        <v>Young</v>
      </c>
    </row>
    <row r="575" spans="1:15" x14ac:dyDescent="0.3">
      <c r="A575" s="1">
        <v>6943</v>
      </c>
      <c r="B575" s="1" t="s">
        <v>9</v>
      </c>
      <c r="C575" s="2">
        <v>44541</v>
      </c>
      <c r="D575" s="2" t="str">
        <f t="shared" si="24"/>
        <v>Dec</v>
      </c>
      <c r="E575" s="2" t="str">
        <f t="shared" si="25"/>
        <v>2021</v>
      </c>
      <c r="F575" s="1">
        <v>121</v>
      </c>
      <c r="G575" s="1">
        <v>78</v>
      </c>
      <c r="H575" s="1">
        <v>39</v>
      </c>
      <c r="I575" s="1">
        <v>74</v>
      </c>
      <c r="J575" s="1">
        <v>39</v>
      </c>
      <c r="K575" s="1">
        <v>0.26100000000000001</v>
      </c>
      <c r="L575" s="1">
        <v>28</v>
      </c>
      <c r="M575" s="1">
        <v>0</v>
      </c>
      <c r="N575" s="1" t="s">
        <v>46</v>
      </c>
      <c r="O575" s="1" t="str">
        <f t="shared" si="26"/>
        <v>Young</v>
      </c>
    </row>
    <row r="576" spans="1:15" x14ac:dyDescent="0.3">
      <c r="A576" s="1">
        <v>7897</v>
      </c>
      <c r="B576" s="1" t="s">
        <v>8</v>
      </c>
      <c r="C576" s="2">
        <v>44914</v>
      </c>
      <c r="D576" s="2" t="str">
        <f t="shared" si="24"/>
        <v>Dec</v>
      </c>
      <c r="E576" s="2" t="str">
        <f t="shared" si="25"/>
        <v>2022</v>
      </c>
      <c r="F576" s="1">
        <v>181</v>
      </c>
      <c r="G576" s="1">
        <v>88</v>
      </c>
      <c r="H576" s="1">
        <v>44</v>
      </c>
      <c r="I576" s="1">
        <v>510</v>
      </c>
      <c r="J576" s="1">
        <v>43.3</v>
      </c>
      <c r="K576" s="1">
        <v>0.222</v>
      </c>
      <c r="L576" s="1">
        <v>26</v>
      </c>
      <c r="M576" s="1">
        <v>1</v>
      </c>
      <c r="N576" s="1" t="s">
        <v>45</v>
      </c>
      <c r="O576" s="1" t="str">
        <f t="shared" si="26"/>
        <v>Young</v>
      </c>
    </row>
    <row r="577" spans="1:15" x14ac:dyDescent="0.3">
      <c r="A577" s="1">
        <v>7071</v>
      </c>
      <c r="B577" s="1" t="s">
        <v>9</v>
      </c>
      <c r="C577" s="2">
        <v>45555</v>
      </c>
      <c r="D577" s="2" t="str">
        <f t="shared" si="24"/>
        <v>Sep</v>
      </c>
      <c r="E577" s="2" t="str">
        <f t="shared" si="25"/>
        <v>2024</v>
      </c>
      <c r="F577" s="1">
        <v>128</v>
      </c>
      <c r="G577" s="1">
        <v>88</v>
      </c>
      <c r="H577" s="1">
        <v>39</v>
      </c>
      <c r="I577" s="1">
        <v>110</v>
      </c>
      <c r="J577" s="1">
        <v>36.5</v>
      </c>
      <c r="K577" s="1">
        <v>1.0569999999999999</v>
      </c>
      <c r="L577" s="1">
        <v>37</v>
      </c>
      <c r="M577" s="1">
        <v>1</v>
      </c>
      <c r="N577" s="1" t="s">
        <v>45</v>
      </c>
      <c r="O577" s="1" t="str">
        <f t="shared" si="26"/>
        <v>Middle-Aged</v>
      </c>
    </row>
    <row r="578" spans="1:15" x14ac:dyDescent="0.3">
      <c r="A578" s="1">
        <v>5764</v>
      </c>
      <c r="B578" s="1" t="s">
        <v>8</v>
      </c>
      <c r="C578" s="2">
        <v>44700</v>
      </c>
      <c r="D578" s="2" t="str">
        <f t="shared" si="24"/>
        <v>May</v>
      </c>
      <c r="E578" s="2" t="str">
        <f t="shared" si="25"/>
        <v>2022</v>
      </c>
      <c r="F578" s="1">
        <v>123</v>
      </c>
      <c r="G578" s="1">
        <v>72</v>
      </c>
      <c r="H578" s="1">
        <v>38</v>
      </c>
      <c r="I578" s="1">
        <v>14</v>
      </c>
      <c r="J578" s="1">
        <v>36.299999999999997</v>
      </c>
      <c r="K578" s="1">
        <v>0.25800000000000001</v>
      </c>
      <c r="L578" s="1">
        <v>52</v>
      </c>
      <c r="M578" s="1">
        <v>1</v>
      </c>
      <c r="N578" s="1" t="s">
        <v>45</v>
      </c>
      <c r="O578" s="1" t="str">
        <f t="shared" si="26"/>
        <v>Old</v>
      </c>
    </row>
    <row r="579" spans="1:15" x14ac:dyDescent="0.3">
      <c r="A579" s="1">
        <v>8425</v>
      </c>
      <c r="B579" s="1" t="s">
        <v>9</v>
      </c>
      <c r="C579" s="2">
        <v>44471</v>
      </c>
      <c r="D579" s="2" t="str">
        <f t="shared" ref="D579:D585" si="27">TEXT(C579,"MMM")</f>
        <v>Oct</v>
      </c>
      <c r="E579" s="2" t="str">
        <f t="shared" ref="E579:E585" si="28">TEXT(C579,"YYY")</f>
        <v>2021</v>
      </c>
      <c r="F579" s="1">
        <v>106</v>
      </c>
      <c r="G579" s="1">
        <v>76</v>
      </c>
      <c r="H579" s="1">
        <v>38</v>
      </c>
      <c r="I579" s="1">
        <v>14</v>
      </c>
      <c r="J579" s="1">
        <v>37.5</v>
      </c>
      <c r="K579" s="1">
        <v>0.19700000000000001</v>
      </c>
      <c r="L579" s="1">
        <v>26</v>
      </c>
      <c r="M579" s="1">
        <v>0</v>
      </c>
      <c r="N579" s="1" t="s">
        <v>46</v>
      </c>
      <c r="O579" s="1" t="str">
        <f t="shared" ref="O579:O585" si="29">IF(L579&lt;=35,"Young",IF(L579&lt;=50,"Middle-Aged",IF(L579&lt;=65,"Old","Very Old")))</f>
        <v>Young</v>
      </c>
    </row>
    <row r="580" spans="1:15" x14ac:dyDescent="0.3">
      <c r="A580" s="1">
        <v>4221</v>
      </c>
      <c r="B580" s="1" t="s">
        <v>8</v>
      </c>
      <c r="C580" s="2">
        <v>44817</v>
      </c>
      <c r="D580" s="2" t="str">
        <f t="shared" si="27"/>
        <v>Sep</v>
      </c>
      <c r="E580" s="2" t="str">
        <f t="shared" si="28"/>
        <v>2022</v>
      </c>
      <c r="F580" s="1">
        <v>190</v>
      </c>
      <c r="G580" s="1">
        <v>92</v>
      </c>
      <c r="H580" s="1">
        <v>38</v>
      </c>
      <c r="I580" s="1">
        <v>14</v>
      </c>
      <c r="J580" s="1">
        <v>35.5</v>
      </c>
      <c r="K580" s="1">
        <v>0.27800000000000002</v>
      </c>
      <c r="L580" s="1">
        <v>66</v>
      </c>
      <c r="M580" s="1">
        <v>1</v>
      </c>
      <c r="N580" s="1" t="s">
        <v>45</v>
      </c>
      <c r="O580" s="1" t="str">
        <f t="shared" si="29"/>
        <v>Very Old</v>
      </c>
    </row>
    <row r="581" spans="1:15" x14ac:dyDescent="0.3">
      <c r="A581" s="1">
        <v>8160</v>
      </c>
      <c r="B581" s="1" t="s">
        <v>8</v>
      </c>
      <c r="C581" s="2">
        <v>45595</v>
      </c>
      <c r="D581" s="2" t="str">
        <f t="shared" si="27"/>
        <v>Oct</v>
      </c>
      <c r="E581" s="2" t="str">
        <f t="shared" si="28"/>
        <v>2024</v>
      </c>
      <c r="F581" s="1">
        <v>88</v>
      </c>
      <c r="G581" s="1">
        <v>58</v>
      </c>
      <c r="H581" s="1">
        <v>26</v>
      </c>
      <c r="I581" s="1">
        <v>16</v>
      </c>
      <c r="J581" s="1">
        <v>28.4</v>
      </c>
      <c r="K581" s="1">
        <v>0.76600000000000001</v>
      </c>
      <c r="L581" s="1">
        <v>22</v>
      </c>
      <c r="M581" s="1">
        <v>0</v>
      </c>
      <c r="N581" s="1" t="s">
        <v>46</v>
      </c>
      <c r="O581" s="1" t="str">
        <f t="shared" si="29"/>
        <v>Young</v>
      </c>
    </row>
    <row r="582" spans="1:15" x14ac:dyDescent="0.3">
      <c r="A582" s="1">
        <v>8969</v>
      </c>
      <c r="B582" s="1" t="s">
        <v>9</v>
      </c>
      <c r="C582" s="2">
        <v>44296</v>
      </c>
      <c r="D582" s="2" t="str">
        <f t="shared" si="27"/>
        <v>Apr</v>
      </c>
      <c r="E582" s="2" t="str">
        <f t="shared" si="28"/>
        <v>2021</v>
      </c>
      <c r="F582" s="1">
        <v>89</v>
      </c>
      <c r="G582" s="1">
        <v>62</v>
      </c>
      <c r="H582" s="1">
        <v>38</v>
      </c>
      <c r="I582" s="1">
        <v>14</v>
      </c>
      <c r="J582" s="1">
        <v>22.5</v>
      </c>
      <c r="K582" s="1">
        <v>0.14199999999999999</v>
      </c>
      <c r="L582" s="1">
        <v>33</v>
      </c>
      <c r="M582" s="1">
        <v>0</v>
      </c>
      <c r="N582" s="1" t="s">
        <v>46</v>
      </c>
      <c r="O582" s="1" t="str">
        <f t="shared" si="29"/>
        <v>Young</v>
      </c>
    </row>
    <row r="583" spans="1:15" x14ac:dyDescent="0.3">
      <c r="A583" s="1">
        <v>5798</v>
      </c>
      <c r="B583" s="1" t="s">
        <v>8</v>
      </c>
      <c r="C583" s="2">
        <v>44363</v>
      </c>
      <c r="D583" s="2" t="str">
        <f t="shared" si="27"/>
        <v>Jun</v>
      </c>
      <c r="E583" s="2" t="str">
        <f t="shared" si="28"/>
        <v>2021</v>
      </c>
      <c r="F583" s="1">
        <v>101</v>
      </c>
      <c r="G583" s="1">
        <v>76</v>
      </c>
      <c r="H583" s="1">
        <v>48</v>
      </c>
      <c r="I583" s="1">
        <v>180</v>
      </c>
      <c r="J583" s="1">
        <v>32.9</v>
      </c>
      <c r="K583" s="1">
        <v>0.17100000000000001</v>
      </c>
      <c r="L583" s="1">
        <v>63</v>
      </c>
      <c r="M583" s="1">
        <v>0</v>
      </c>
      <c r="N583" s="1" t="s">
        <v>46</v>
      </c>
      <c r="O583" s="1" t="str">
        <f t="shared" si="29"/>
        <v>Old</v>
      </c>
    </row>
    <row r="584" spans="1:15" x14ac:dyDescent="0.3">
      <c r="A584" s="1">
        <v>9852</v>
      </c>
      <c r="B584" s="1" t="s">
        <v>9</v>
      </c>
      <c r="C584" s="2">
        <v>44567</v>
      </c>
      <c r="D584" s="2" t="str">
        <f t="shared" si="27"/>
        <v>Jan</v>
      </c>
      <c r="E584" s="2" t="str">
        <f t="shared" si="28"/>
        <v>2022</v>
      </c>
      <c r="F584" s="1">
        <v>121</v>
      </c>
      <c r="G584" s="1">
        <v>72</v>
      </c>
      <c r="H584" s="1">
        <v>23</v>
      </c>
      <c r="I584" s="1">
        <v>112</v>
      </c>
      <c r="J584" s="1">
        <v>26.2</v>
      </c>
      <c r="K584" s="1">
        <v>0.245</v>
      </c>
      <c r="L584" s="1">
        <v>30</v>
      </c>
      <c r="M584" s="1">
        <v>0</v>
      </c>
      <c r="N584" s="1" t="s">
        <v>46</v>
      </c>
      <c r="O584" s="1" t="str">
        <f t="shared" si="29"/>
        <v>Young</v>
      </c>
    </row>
    <row r="585" spans="1:15" x14ac:dyDescent="0.3">
      <c r="A585" s="1">
        <v>5783</v>
      </c>
      <c r="B585" s="1" t="s">
        <v>9</v>
      </c>
      <c r="C585" s="2">
        <v>44494</v>
      </c>
      <c r="D585" s="2" t="str">
        <f t="shared" si="27"/>
        <v>Oct</v>
      </c>
      <c r="E585" s="2" t="str">
        <f t="shared" si="28"/>
        <v>2021</v>
      </c>
      <c r="F585" s="1">
        <v>126</v>
      </c>
      <c r="G585" s="1">
        <v>60</v>
      </c>
      <c r="H585" s="1">
        <v>38</v>
      </c>
      <c r="I585" s="1">
        <v>14</v>
      </c>
      <c r="J585" s="1">
        <v>30.1</v>
      </c>
      <c r="K585" s="1">
        <v>0.34899999999999998</v>
      </c>
      <c r="L585" s="1">
        <v>47</v>
      </c>
      <c r="M585" s="1">
        <v>1</v>
      </c>
      <c r="N585" s="1" t="s">
        <v>45</v>
      </c>
      <c r="O585" s="1" t="str">
        <f t="shared" si="29"/>
        <v>Middle-Aged</v>
      </c>
    </row>
  </sheetData>
  <autoFilter ref="A1:O1" xr:uid="{99EB6E98-3181-470D-8582-6927D1912FA8}"/>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F5C80-DB6D-4BB8-852D-5EA4AA16FA91}">
  <sheetPr codeName="Sheet2"/>
  <dimension ref="B3:O6"/>
  <sheetViews>
    <sheetView workbookViewId="0">
      <selection activeCell="C2" sqref="C2"/>
    </sheetView>
  </sheetViews>
  <sheetFormatPr defaultRowHeight="14.4" x14ac:dyDescent="0.3"/>
  <cols>
    <col min="2" max="2" width="12" bestFit="1" customWidth="1"/>
    <col min="3" max="3" width="13.44140625" bestFit="1" customWidth="1"/>
    <col min="5" max="5" width="13.44140625" bestFit="1" customWidth="1"/>
    <col min="6" max="6" width="8.44140625" bestFit="1" customWidth="1"/>
    <col min="7" max="7" width="12.44140625" bestFit="1" customWidth="1"/>
    <col min="8" max="8" width="10.5546875" bestFit="1" customWidth="1"/>
    <col min="9" max="9" width="13.44140625" bestFit="1" customWidth="1"/>
    <col min="10" max="10" width="13.88671875" bestFit="1" customWidth="1"/>
    <col min="11" max="11" width="4" bestFit="1" customWidth="1"/>
    <col min="12" max="13" width="5.88671875" bestFit="1" customWidth="1"/>
    <col min="15" max="15" width="9.88671875" bestFit="1" customWidth="1"/>
  </cols>
  <sheetData>
    <row r="3" spans="2:15" x14ac:dyDescent="0.3">
      <c r="B3" s="7" t="s">
        <v>13</v>
      </c>
      <c r="C3" t="s">
        <v>41</v>
      </c>
      <c r="E3" s="7" t="s">
        <v>41</v>
      </c>
      <c r="F3" s="7" t="s">
        <v>13</v>
      </c>
      <c r="I3" s="7" t="s">
        <v>41</v>
      </c>
      <c r="J3" s="7" t="s">
        <v>39</v>
      </c>
      <c r="O3" t="s">
        <v>78</v>
      </c>
    </row>
    <row r="4" spans="2:15" x14ac:dyDescent="0.3">
      <c r="B4" t="s">
        <v>45</v>
      </c>
      <c r="C4" s="6">
        <v>5</v>
      </c>
      <c r="E4" s="7" t="s">
        <v>11</v>
      </c>
      <c r="F4" t="s">
        <v>45</v>
      </c>
      <c r="G4" t="s">
        <v>46</v>
      </c>
      <c r="I4" s="7" t="s">
        <v>13</v>
      </c>
      <c r="J4" t="s">
        <v>42</v>
      </c>
      <c r="K4" t="s">
        <v>43</v>
      </c>
      <c r="L4" t="s">
        <v>44</v>
      </c>
      <c r="O4" s="6">
        <v>13</v>
      </c>
    </row>
    <row r="5" spans="2:15" x14ac:dyDescent="0.3">
      <c r="B5" t="s">
        <v>46</v>
      </c>
      <c r="C5" s="6">
        <v>8</v>
      </c>
      <c r="E5" t="s">
        <v>9</v>
      </c>
      <c r="F5" s="6">
        <v>2</v>
      </c>
      <c r="G5" s="6">
        <v>5</v>
      </c>
      <c r="I5" t="s">
        <v>45</v>
      </c>
      <c r="J5" s="6">
        <v>2</v>
      </c>
      <c r="K5" s="6">
        <v>1</v>
      </c>
      <c r="L5" s="6">
        <v>2</v>
      </c>
    </row>
    <row r="6" spans="2:15" x14ac:dyDescent="0.3">
      <c r="E6" t="s">
        <v>8</v>
      </c>
      <c r="F6" s="6">
        <v>3</v>
      </c>
      <c r="G6" s="6">
        <v>3</v>
      </c>
      <c r="I6" t="s">
        <v>46</v>
      </c>
      <c r="J6" s="6">
        <v>1</v>
      </c>
      <c r="K6" s="6"/>
      <c r="L6" s="6">
        <v>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3E3B09-47D9-4C2D-A2AB-7188504CE4D0}">
  <sheetPr codeName="Sheet3"/>
  <dimension ref="A1"/>
  <sheetViews>
    <sheetView topLeftCell="B1" zoomScaleNormal="100" workbookViewId="0">
      <selection activeCell="Q4" sqref="Q4"/>
    </sheetView>
  </sheetViews>
  <sheetFormatPr defaultRowHeight="14.4" x14ac:dyDescent="0.3"/>
  <cols>
    <col min="1" max="1" width="1" style="9" hidden="1" customWidth="1"/>
    <col min="2" max="16384" width="8.88671875" style="9"/>
  </cols>
  <sheetData>
    <row r="1" ht="4.2" customHeight="1"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36E1D6-E9FA-404D-8615-AB83DC5E1B8D}">
  <sheetPr codeName="Sheet4"/>
  <dimension ref="B3:D11"/>
  <sheetViews>
    <sheetView workbookViewId="0">
      <selection activeCell="E28" sqref="E28"/>
    </sheetView>
  </sheetViews>
  <sheetFormatPr defaultColWidth="9" defaultRowHeight="14.4" x14ac:dyDescent="0.3"/>
  <cols>
    <col min="2" max="2" width="23.21875" bestFit="1" customWidth="1"/>
    <col min="3" max="3" width="21.6640625" bestFit="1" customWidth="1"/>
    <col min="4" max="4" width="14" bestFit="1" customWidth="1"/>
    <col min="5" max="5" width="11.109375" bestFit="1" customWidth="1"/>
  </cols>
  <sheetData>
    <row r="3" spans="2:4" x14ac:dyDescent="0.3">
      <c r="B3" s="3" t="s">
        <v>15</v>
      </c>
      <c r="C3" s="3" t="s">
        <v>25</v>
      </c>
      <c r="D3" s="3" t="s">
        <v>26</v>
      </c>
    </row>
    <row r="4" spans="2:4" x14ac:dyDescent="0.3">
      <c r="B4" s="4" t="s">
        <v>14</v>
      </c>
      <c r="C4" s="1" t="s">
        <v>17</v>
      </c>
      <c r="D4" s="1" t="s">
        <v>27</v>
      </c>
    </row>
    <row r="5" spans="2:4" x14ac:dyDescent="0.3">
      <c r="B5" s="4" t="s">
        <v>18</v>
      </c>
      <c r="C5" s="1"/>
      <c r="D5" s="1"/>
    </row>
    <row r="6" spans="2:4" x14ac:dyDescent="0.3">
      <c r="B6" s="5" t="s">
        <v>28</v>
      </c>
      <c r="C6" s="1" t="s">
        <v>29</v>
      </c>
      <c r="D6" s="1" t="s">
        <v>30</v>
      </c>
    </row>
    <row r="7" spans="2:4" x14ac:dyDescent="0.3">
      <c r="B7" s="5" t="s">
        <v>31</v>
      </c>
      <c r="C7" s="1" t="s">
        <v>32</v>
      </c>
      <c r="D7" s="1" t="s">
        <v>40</v>
      </c>
    </row>
    <row r="8" spans="2:4" x14ac:dyDescent="0.3">
      <c r="B8" s="4" t="s">
        <v>19</v>
      </c>
      <c r="C8" s="1" t="s">
        <v>33</v>
      </c>
      <c r="D8" s="1" t="s">
        <v>34</v>
      </c>
    </row>
    <row r="9" spans="2:4" x14ac:dyDescent="0.3">
      <c r="B9" s="4" t="s">
        <v>20</v>
      </c>
      <c r="C9" s="1" t="s">
        <v>21</v>
      </c>
      <c r="D9" s="1" t="s">
        <v>35</v>
      </c>
    </row>
    <row r="10" spans="2:4" x14ac:dyDescent="0.3">
      <c r="B10" s="4" t="s">
        <v>22</v>
      </c>
      <c r="C10" s="1" t="s">
        <v>23</v>
      </c>
      <c r="D10" s="1" t="s">
        <v>36</v>
      </c>
    </row>
    <row r="11" spans="2:4" x14ac:dyDescent="0.3">
      <c r="B11" s="4" t="s">
        <v>24</v>
      </c>
      <c r="C11" s="1" t="s">
        <v>37</v>
      </c>
      <c r="D11" s="1" t="s">
        <v>38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0FA972-74EE-44AB-8D5E-856096384155}">
  <sheetPr codeName="Sheet5"/>
  <dimension ref="B1:AA30"/>
  <sheetViews>
    <sheetView showGridLines="0" tabSelected="1" workbookViewId="0">
      <selection activeCell="N25" sqref="N25"/>
    </sheetView>
  </sheetViews>
  <sheetFormatPr defaultRowHeight="14.4" x14ac:dyDescent="0.3"/>
  <cols>
    <col min="1" max="2" width="8.88671875" style="11"/>
    <col min="3" max="3" width="24" style="11" bestFit="1" customWidth="1"/>
    <col min="4" max="4" width="16.5546875" style="11" bestFit="1" customWidth="1"/>
    <col min="5" max="5" width="19.21875" style="11" bestFit="1" customWidth="1"/>
    <col min="6" max="9" width="8.88671875" style="11"/>
    <col min="10" max="10" width="8.88671875" style="11" customWidth="1"/>
    <col min="11" max="11" width="8.88671875" style="11"/>
    <col min="12" max="12" width="18.33203125" style="11" customWidth="1"/>
    <col min="13" max="18" width="8.88671875" style="11"/>
    <col min="19" max="19" width="7.109375" style="11" customWidth="1"/>
    <col min="20" max="20" width="22.44140625" style="11" customWidth="1"/>
    <col min="21" max="21" width="8.33203125" style="11" bestFit="1" customWidth="1"/>
    <col min="22" max="22" width="7.44140625" style="11" customWidth="1"/>
    <col min="23" max="16384" width="8.88671875" style="11"/>
  </cols>
  <sheetData>
    <row r="1" spans="2:22" x14ac:dyDescent="0.3">
      <c r="B1" s="20"/>
      <c r="C1" s="20"/>
      <c r="D1" s="20"/>
      <c r="E1" s="20"/>
      <c r="F1" s="20"/>
      <c r="G1" s="20"/>
      <c r="H1" s="20"/>
      <c r="I1" s="20"/>
      <c r="J1" s="20"/>
      <c r="K1" s="20"/>
      <c r="L1" s="20"/>
      <c r="M1" s="20"/>
      <c r="N1" s="20"/>
      <c r="T1" s="11" t="s">
        <v>48</v>
      </c>
    </row>
    <row r="2" spans="2:22" ht="25.8" x14ac:dyDescent="0.5">
      <c r="B2" s="20"/>
      <c r="C2" s="12" t="s">
        <v>77</v>
      </c>
      <c r="D2" s="12"/>
      <c r="E2" s="12"/>
      <c r="F2" s="12"/>
      <c r="G2" s="12"/>
      <c r="H2" s="12"/>
      <c r="I2" s="12"/>
      <c r="J2" s="12"/>
      <c r="K2" s="12"/>
      <c r="L2" s="12"/>
      <c r="M2" s="20"/>
      <c r="N2" s="20"/>
      <c r="T2" s="14" t="s">
        <v>15</v>
      </c>
      <c r="U2" s="15" t="s">
        <v>50</v>
      </c>
    </row>
    <row r="3" spans="2:22" ht="18" thickBot="1" x14ac:dyDescent="0.5">
      <c r="B3" s="20"/>
      <c r="C3" s="20"/>
      <c r="D3" s="21" t="s">
        <v>25</v>
      </c>
      <c r="E3" s="21" t="s">
        <v>26</v>
      </c>
      <c r="F3" s="20"/>
      <c r="G3" s="20"/>
      <c r="H3" s="20"/>
      <c r="I3" s="20"/>
      <c r="J3" s="20"/>
      <c r="K3" s="20"/>
      <c r="L3" s="20"/>
      <c r="M3" s="20"/>
      <c r="N3" s="20"/>
      <c r="T3" s="15" t="s">
        <v>14</v>
      </c>
      <c r="U3" s="8">
        <f>F4</f>
        <v>70</v>
      </c>
    </row>
    <row r="4" spans="2:22" ht="18.600000000000001" thickBot="1" x14ac:dyDescent="0.4">
      <c r="B4" s="20"/>
      <c r="C4" s="22" t="s">
        <v>14</v>
      </c>
      <c r="D4" s="23" t="s">
        <v>51</v>
      </c>
      <c r="E4" s="24" t="s">
        <v>57</v>
      </c>
      <c r="F4" s="25">
        <v>70</v>
      </c>
      <c r="G4" s="26"/>
      <c r="H4" s="26"/>
      <c r="I4" s="26"/>
      <c r="J4" s="26"/>
      <c r="K4" s="27" t="str">
        <f>IF(F4="","","P")</f>
        <v>P</v>
      </c>
      <c r="L4" s="28" t="str">
        <f>IF(F4="","",IF(F4&lt;70,"Below Normal",IF(F4&lt;=99,"Normal",IF(F4&gt;=125,"High Risk","Moderate prediabetic"))))</f>
        <v>Normal</v>
      </c>
      <c r="M4" s="20"/>
      <c r="N4" s="20"/>
      <c r="T4" s="16" t="s">
        <v>28</v>
      </c>
      <c r="U4" s="8">
        <f>F8</f>
        <v>90</v>
      </c>
    </row>
    <row r="5" spans="2:22" ht="15" thickTop="1" x14ac:dyDescent="0.3">
      <c r="B5" s="20"/>
      <c r="C5" s="29"/>
      <c r="D5" s="30" t="str">
        <f>IF(F21="","",IF(F21&lt;=5,"Low Risk",""))</f>
        <v>Low Risk</v>
      </c>
      <c r="E5" s="31"/>
      <c r="F5" s="20"/>
      <c r="G5" s="32" t="str">
        <f>IF(F21="", "", IF(F21&gt;10, "High Risk", IF(F21&gt;5, "Moderate Risk", "")))</f>
        <v/>
      </c>
      <c r="H5" s="33"/>
      <c r="I5" s="33"/>
      <c r="J5" s="34"/>
      <c r="K5" s="20"/>
      <c r="L5" s="20"/>
      <c r="M5" s="20"/>
      <c r="N5" s="20"/>
      <c r="T5" s="16" t="s">
        <v>31</v>
      </c>
      <c r="U5" s="8">
        <f>F10</f>
        <v>56</v>
      </c>
    </row>
    <row r="6" spans="2:22" x14ac:dyDescent="0.3">
      <c r="B6" s="20"/>
      <c r="C6" s="22" t="s">
        <v>18</v>
      </c>
      <c r="D6" s="30"/>
      <c r="E6" s="31"/>
      <c r="F6" s="20"/>
      <c r="G6" s="35"/>
      <c r="H6" s="36"/>
      <c r="I6" s="36"/>
      <c r="J6" s="37"/>
      <c r="K6" s="38" t="str">
        <f>IF(F6="","","P")</f>
        <v/>
      </c>
      <c r="L6" s="20"/>
      <c r="M6" s="20"/>
      <c r="N6" s="20"/>
      <c r="T6" s="15" t="s">
        <v>19</v>
      </c>
      <c r="U6" s="8">
        <f>F12</f>
        <v>6</v>
      </c>
    </row>
    <row r="7" spans="2:22" ht="15" thickBot="1" x14ac:dyDescent="0.35">
      <c r="B7" s="20"/>
      <c r="C7" s="29"/>
      <c r="D7" s="30"/>
      <c r="E7" s="31"/>
      <c r="F7" s="20"/>
      <c r="G7" s="39"/>
      <c r="H7" s="40"/>
      <c r="I7" s="40"/>
      <c r="J7" s="41"/>
      <c r="K7" s="20"/>
      <c r="L7" s="20"/>
      <c r="M7" s="20"/>
      <c r="N7" s="20"/>
      <c r="T7" s="15" t="s">
        <v>20</v>
      </c>
      <c r="U7" s="8">
        <f>F14</f>
        <v>6</v>
      </c>
    </row>
    <row r="8" spans="2:22" ht="19.2" thickTop="1" thickBot="1" x14ac:dyDescent="0.4">
      <c r="B8" s="20"/>
      <c r="C8" s="42" t="s">
        <v>28</v>
      </c>
      <c r="D8" s="23" t="s">
        <v>52</v>
      </c>
      <c r="E8" s="24" t="s">
        <v>56</v>
      </c>
      <c r="F8" s="25">
        <v>90</v>
      </c>
      <c r="G8" s="43"/>
      <c r="H8" s="43"/>
      <c r="I8" s="43"/>
      <c r="J8" s="43"/>
      <c r="K8" s="27" t="str">
        <f>IF(F8="","","P")</f>
        <v>P</v>
      </c>
      <c r="L8" s="28" t="str">
        <f>IF(F8="","",IF(F8&lt;90,"Below Normal",IF(F8&lt;=119,"Normal",IF(F8&gt;139,"High Risk","Moderately High"))))</f>
        <v>Normal</v>
      </c>
      <c r="M8" s="20"/>
      <c r="N8" s="20"/>
      <c r="T8" s="15" t="s">
        <v>22</v>
      </c>
      <c r="U8" s="8">
        <f>F16</f>
        <v>7</v>
      </c>
    </row>
    <row r="9" spans="2:22" ht="15" thickBot="1" x14ac:dyDescent="0.35">
      <c r="B9" s="20"/>
      <c r="C9" s="29"/>
      <c r="D9" s="44"/>
      <c r="E9" s="45"/>
      <c r="F9" s="20"/>
      <c r="G9" s="20"/>
      <c r="H9" s="20"/>
      <c r="I9" s="20"/>
      <c r="J9" s="20"/>
      <c r="K9" s="20"/>
      <c r="L9" s="20"/>
      <c r="M9" s="20"/>
      <c r="N9" s="20"/>
      <c r="T9" s="15" t="s">
        <v>24</v>
      </c>
      <c r="U9" s="8">
        <f>F18</f>
        <v>7</v>
      </c>
    </row>
    <row r="10" spans="2:22" ht="18.600000000000001" thickBot="1" x14ac:dyDescent="0.4">
      <c r="B10" s="20"/>
      <c r="C10" s="42" t="s">
        <v>31</v>
      </c>
      <c r="D10" s="23" t="s">
        <v>53</v>
      </c>
      <c r="E10" s="24" t="s">
        <v>60</v>
      </c>
      <c r="F10" s="25">
        <v>56</v>
      </c>
      <c r="G10" s="46"/>
      <c r="H10" s="46"/>
      <c r="I10" s="46"/>
      <c r="J10" s="46"/>
      <c r="K10" s="27" t="str">
        <f>IF(F10="","","P")</f>
        <v>P</v>
      </c>
      <c r="L10" s="28" t="str">
        <f>IF(F10="","",IF(F10&lt;60,"Below Normal",IF(F10&lt;=79,"Normal",IF(F10&gt;89,"High Risk","Moderately High"))))</f>
        <v>Below Normal</v>
      </c>
      <c r="M10" s="20"/>
      <c r="N10" s="20"/>
      <c r="T10" s="15" t="s">
        <v>49</v>
      </c>
      <c r="U10" s="8">
        <f>COUNTA(F4,F8,F10,F12,F14,F16,F18)</f>
        <v>7</v>
      </c>
    </row>
    <row r="11" spans="2:22" ht="15" thickBot="1" x14ac:dyDescent="0.35">
      <c r="B11" s="20"/>
      <c r="C11" s="29"/>
      <c r="D11" s="44"/>
      <c r="E11" s="45"/>
      <c r="F11" s="20"/>
      <c r="G11" s="20"/>
      <c r="H11" s="20"/>
      <c r="I11" s="20"/>
      <c r="J11" s="20"/>
      <c r="K11" s="20"/>
      <c r="L11" s="20"/>
      <c r="M11" s="20"/>
      <c r="N11" s="20"/>
      <c r="T11" s="17"/>
      <c r="U11" s="17"/>
      <c r="V11" s="17"/>
    </row>
    <row r="12" spans="2:22" ht="18.600000000000001" thickBot="1" x14ac:dyDescent="0.4">
      <c r="B12" s="20"/>
      <c r="C12" s="22" t="s">
        <v>19</v>
      </c>
      <c r="D12" s="47" t="s">
        <v>58</v>
      </c>
      <c r="E12" s="24" t="s">
        <v>61</v>
      </c>
      <c r="F12" s="25">
        <v>6</v>
      </c>
      <c r="G12" s="46"/>
      <c r="H12" s="46"/>
      <c r="I12" s="46"/>
      <c r="J12" s="46"/>
      <c r="K12" s="27" t="str">
        <f>IF(F12="","","P")</f>
        <v>P</v>
      </c>
      <c r="L12" s="28" t="str">
        <f>IF(F12="","",IF(F12&lt;10,"Below Normal",IF(F12&lt;=35,"Normal",IF(F12&gt;50,"High Risk","Moderately High"))))</f>
        <v>Below Normal</v>
      </c>
      <c r="M12" s="20"/>
      <c r="N12" s="20"/>
      <c r="T12" s="18" t="s">
        <v>47</v>
      </c>
      <c r="U12" s="18"/>
      <c r="V12" s="17"/>
    </row>
    <row r="13" spans="2:22" ht="15" thickBot="1" x14ac:dyDescent="0.35">
      <c r="B13" s="20"/>
      <c r="C13" s="29"/>
      <c r="D13" s="48"/>
      <c r="E13" s="45"/>
      <c r="F13" s="20"/>
      <c r="G13" s="20"/>
      <c r="H13" s="20"/>
      <c r="I13" s="20"/>
      <c r="J13" s="20"/>
      <c r="K13" s="20"/>
      <c r="L13" s="20"/>
      <c r="M13" s="20"/>
      <c r="N13" s="20"/>
      <c r="T13" s="18"/>
      <c r="U13" s="18"/>
      <c r="V13" s="17"/>
    </row>
    <row r="14" spans="2:22" ht="18.600000000000001" customHeight="1" thickBot="1" x14ac:dyDescent="0.4">
      <c r="B14" s="20"/>
      <c r="C14" s="22" t="s">
        <v>20</v>
      </c>
      <c r="D14" s="47" t="s">
        <v>59</v>
      </c>
      <c r="E14" s="24" t="s">
        <v>62</v>
      </c>
      <c r="F14" s="25">
        <v>6</v>
      </c>
      <c r="G14" s="46"/>
      <c r="H14" s="46"/>
      <c r="I14" s="46"/>
      <c r="J14" s="46"/>
      <c r="K14" s="27" t="str">
        <f>IF(F14="","","P")</f>
        <v>P</v>
      </c>
      <c r="L14" s="28" t="str">
        <f>IF(F14="","",IF(F14&lt;2,"Below Normal",IF(F14&lt;=25,"Normal",IF(F14&gt;100,"High Risk","Moderately High"))))</f>
        <v>Normal</v>
      </c>
      <c r="M14" s="20"/>
      <c r="N14" s="20"/>
    </row>
    <row r="15" spans="2:22" ht="15" customHeight="1" thickBot="1" x14ac:dyDescent="0.35">
      <c r="B15" s="20"/>
      <c r="C15" s="29"/>
      <c r="D15" s="44"/>
      <c r="E15" s="45"/>
      <c r="F15" s="20"/>
      <c r="G15" s="20"/>
      <c r="H15" s="20"/>
      <c r="I15" s="20"/>
      <c r="J15" s="20"/>
      <c r="K15" s="20"/>
      <c r="L15" s="20"/>
      <c r="M15" s="20"/>
      <c r="N15" s="20"/>
    </row>
    <row r="16" spans="2:22" ht="18.600000000000001" thickBot="1" x14ac:dyDescent="0.4">
      <c r="B16" s="20"/>
      <c r="C16" s="22" t="s">
        <v>22</v>
      </c>
      <c r="D16" s="23" t="s">
        <v>54</v>
      </c>
      <c r="E16" s="24" t="s">
        <v>63</v>
      </c>
      <c r="F16" s="25">
        <v>7</v>
      </c>
      <c r="G16" s="46"/>
      <c r="H16" s="46"/>
      <c r="I16" s="46"/>
      <c r="J16" s="46"/>
      <c r="K16" s="27" t="str">
        <f>IF(F16="","","P")</f>
        <v>P</v>
      </c>
      <c r="L16" s="28" t="str">
        <f>IF(F16="","",IF(F16&lt;18.5,"Below Normal",IF(F16&lt;=24.9,"Normal",IF(F16&gt;30,"High Risk","Moderately High"))))</f>
        <v>Below Normal</v>
      </c>
      <c r="M16" s="20"/>
      <c r="N16" s="20"/>
    </row>
    <row r="17" spans="2:27" ht="15" thickBot="1" x14ac:dyDescent="0.35">
      <c r="B17" s="20"/>
      <c r="C17" s="29"/>
      <c r="D17" s="44"/>
      <c r="E17" s="45"/>
      <c r="F17" s="20"/>
      <c r="G17" s="20"/>
      <c r="H17" s="20"/>
      <c r="I17" s="20"/>
      <c r="J17" s="20"/>
      <c r="K17" s="20"/>
      <c r="L17" s="20"/>
      <c r="M17" s="20"/>
      <c r="N17" s="20"/>
    </row>
    <row r="18" spans="2:27" ht="18.600000000000001" thickBot="1" x14ac:dyDescent="0.4">
      <c r="B18" s="20"/>
      <c r="C18" s="22" t="s">
        <v>24</v>
      </c>
      <c r="D18" s="23" t="s">
        <v>55</v>
      </c>
      <c r="E18" s="24" t="s">
        <v>64</v>
      </c>
      <c r="F18" s="25">
        <v>7</v>
      </c>
      <c r="G18" s="46"/>
      <c r="H18" s="46"/>
      <c r="I18" s="46"/>
      <c r="J18" s="46"/>
      <c r="K18" s="27" t="str">
        <f>IF(F18="","","P")</f>
        <v>P</v>
      </c>
      <c r="L18" s="28" t="str">
        <f>IF(F18="","",IF(F18&lt;0.2,"Below Normal",IF(F18&lt;=0.5,"Normal",IF(F18&gt;0.8,"High Risk","Moderately High"))))</f>
        <v>High Risk</v>
      </c>
      <c r="M18" s="20"/>
      <c r="N18" s="20"/>
    </row>
    <row r="19" spans="2:27" x14ac:dyDescent="0.3">
      <c r="B19" s="20"/>
      <c r="C19" s="20"/>
      <c r="D19" s="20"/>
      <c r="E19" s="20"/>
      <c r="F19" s="20"/>
      <c r="G19" s="20"/>
      <c r="H19" s="20"/>
      <c r="I19" s="20"/>
      <c r="J19" s="20"/>
      <c r="K19" s="20"/>
      <c r="L19" s="20"/>
      <c r="M19" s="20"/>
      <c r="N19" s="20"/>
      <c r="AA19" s="19"/>
    </row>
    <row r="20" spans="2:27" ht="15" thickBot="1" x14ac:dyDescent="0.35">
      <c r="B20" s="49" t="s">
        <v>66</v>
      </c>
      <c r="C20" s="49"/>
      <c r="D20" s="20"/>
      <c r="E20" s="20"/>
      <c r="F20" s="20"/>
      <c r="G20" s="20"/>
      <c r="H20" s="20"/>
      <c r="I20" s="20"/>
      <c r="J20" s="20"/>
      <c r="K20" s="20"/>
      <c r="L20" s="20"/>
      <c r="M20" s="20"/>
      <c r="N20" s="20"/>
    </row>
    <row r="21" spans="2:27" ht="16.8" thickTop="1" thickBot="1" x14ac:dyDescent="0.35">
      <c r="B21" s="50" t="s">
        <v>67</v>
      </c>
      <c r="C21" s="50" t="s">
        <v>65</v>
      </c>
      <c r="D21" s="20"/>
      <c r="E21" s="51" t="s">
        <v>81</v>
      </c>
      <c r="F21" s="52">
        <f>IF(
   OR(NOT(ISNUMBER(F4)), NOT(ISNUMBER(F8)), NOT(ISNUMBER(F10)), NOT(ISNUMBER(F12)), NOT(ISNUMBER(F14)), NOT(ISNUMBER(F16)), NOT(ISNUMBER(F18))),
   "",
   IF(F4&lt;=99,0,IF(F4&lt;=125,1,4)) +
   IF(F8&lt;=119,0,IF(F8&lt;=139,1,2)) +
   IF(F10&lt;=79,0,IF(F10&lt;=89,1,2)) +
   IF(F12&lt;=35,0,IF(F12&lt;=50,1,1)) +
   IF(F14&lt;=25,0,IF(F14&lt;=100,1,3)) +
   IF(F16&lt;=24.9,0,IF(F16&lt;=30,1,3)) +
   IF(F18&lt;=0.5,0,IF(F18&lt;=0.8,1,2))
)</f>
        <v>2</v>
      </c>
      <c r="G21" s="20"/>
      <c r="H21" s="20"/>
      <c r="I21" s="20"/>
      <c r="J21" s="20"/>
      <c r="K21" s="20"/>
      <c r="L21" s="20"/>
      <c r="M21" s="20"/>
      <c r="N21" s="20"/>
    </row>
    <row r="22" spans="2:27" ht="15" thickTop="1" x14ac:dyDescent="0.3">
      <c r="B22" s="50" t="s">
        <v>68</v>
      </c>
      <c r="C22" s="50" t="s">
        <v>70</v>
      </c>
      <c r="D22" s="20"/>
      <c r="E22" s="20"/>
      <c r="F22" s="20"/>
      <c r="G22" s="20"/>
      <c r="H22" s="20"/>
      <c r="I22" s="20"/>
      <c r="J22" s="20"/>
      <c r="K22" s="20"/>
      <c r="L22" s="20"/>
      <c r="M22" s="20"/>
      <c r="N22" s="20"/>
    </row>
    <row r="23" spans="2:27" x14ac:dyDescent="0.3">
      <c r="B23" s="50" t="s">
        <v>69</v>
      </c>
      <c r="C23" s="50" t="s">
        <v>71</v>
      </c>
      <c r="D23" s="20"/>
      <c r="E23" s="20"/>
      <c r="F23" s="20"/>
      <c r="G23" s="20"/>
      <c r="H23" s="20"/>
      <c r="I23" s="20"/>
      <c r="J23" s="20"/>
      <c r="K23" s="20"/>
      <c r="L23" s="20"/>
      <c r="M23" s="20"/>
      <c r="N23" s="20"/>
    </row>
    <row r="24" spans="2:27" x14ac:dyDescent="0.3">
      <c r="B24" s="20"/>
      <c r="C24" s="20"/>
      <c r="D24" s="20"/>
      <c r="E24" s="20"/>
      <c r="F24" s="20"/>
      <c r="G24" s="20"/>
      <c r="H24" s="20"/>
      <c r="I24" s="20"/>
      <c r="J24" s="20"/>
      <c r="K24" s="20"/>
      <c r="L24" s="20"/>
      <c r="M24" s="20"/>
      <c r="N24" s="20"/>
    </row>
    <row r="25" spans="2:27" x14ac:dyDescent="0.3">
      <c r="B25" s="49" t="s">
        <v>72</v>
      </c>
      <c r="C25" s="49"/>
      <c r="D25" s="20"/>
      <c r="E25" s="20"/>
      <c r="F25" s="20"/>
      <c r="G25" s="20"/>
      <c r="H25" s="20"/>
      <c r="I25" s="20"/>
      <c r="J25" s="20"/>
      <c r="K25" s="20"/>
      <c r="L25" s="20"/>
      <c r="M25" s="20"/>
      <c r="N25" s="20"/>
    </row>
    <row r="26" spans="2:27" x14ac:dyDescent="0.3">
      <c r="B26" s="50" t="s">
        <v>73</v>
      </c>
      <c r="C26" s="50" t="s">
        <v>76</v>
      </c>
      <c r="D26" s="20"/>
      <c r="E26" s="20"/>
      <c r="F26" s="20"/>
      <c r="G26" s="20"/>
      <c r="H26" s="20"/>
      <c r="I26" s="20"/>
      <c r="J26" s="20"/>
      <c r="K26" s="20"/>
      <c r="L26" s="20"/>
      <c r="M26" s="20"/>
      <c r="N26" s="20"/>
    </row>
    <row r="27" spans="2:27" x14ac:dyDescent="0.3">
      <c r="B27" s="53" t="s">
        <v>74</v>
      </c>
      <c r="C27" s="50" t="s">
        <v>70</v>
      </c>
      <c r="D27" s="20"/>
      <c r="E27" s="20"/>
      <c r="F27" s="20"/>
      <c r="G27" s="20"/>
      <c r="H27" s="20"/>
      <c r="I27" s="20"/>
      <c r="J27" s="20"/>
      <c r="K27" s="20"/>
      <c r="L27" s="20"/>
      <c r="M27" s="20"/>
      <c r="N27" s="20"/>
    </row>
    <row r="28" spans="2:27" x14ac:dyDescent="0.3">
      <c r="B28" s="53" t="s">
        <v>75</v>
      </c>
      <c r="C28" s="50" t="s">
        <v>16</v>
      </c>
      <c r="D28" s="20"/>
      <c r="E28" s="20"/>
      <c r="F28" s="20"/>
      <c r="G28" s="20"/>
      <c r="H28" s="20"/>
      <c r="I28" s="20"/>
      <c r="J28" s="20"/>
      <c r="K28" s="20"/>
      <c r="L28" s="20"/>
      <c r="M28" s="20"/>
      <c r="N28" s="20"/>
    </row>
    <row r="29" spans="2:27" x14ac:dyDescent="0.3">
      <c r="B29" s="20"/>
      <c r="C29" s="20"/>
      <c r="D29" s="20"/>
      <c r="E29" s="20"/>
      <c r="F29" s="20"/>
      <c r="G29" s="20"/>
      <c r="H29" s="20"/>
      <c r="I29" s="20"/>
      <c r="J29" s="20"/>
      <c r="K29" s="20"/>
      <c r="L29" s="20"/>
      <c r="M29" s="20"/>
      <c r="N29" s="20"/>
    </row>
    <row r="30" spans="2:27" x14ac:dyDescent="0.3">
      <c r="B30" s="20"/>
      <c r="C30" s="20"/>
      <c r="D30" s="20"/>
      <c r="E30" s="20"/>
      <c r="F30" s="20"/>
      <c r="G30" s="20"/>
      <c r="H30" s="20"/>
      <c r="I30" s="20"/>
      <c r="J30" s="20"/>
      <c r="K30" s="20"/>
      <c r="L30" s="20"/>
      <c r="M30" s="20"/>
      <c r="N30" s="20"/>
    </row>
  </sheetData>
  <mergeCells count="13">
    <mergeCell ref="B20:C20"/>
    <mergeCell ref="B25:C25"/>
    <mergeCell ref="D5:E7"/>
    <mergeCell ref="G5:J7"/>
    <mergeCell ref="F16:J16"/>
    <mergeCell ref="F18:J18"/>
    <mergeCell ref="F14:J14"/>
    <mergeCell ref="T12:U13"/>
    <mergeCell ref="F4:J4"/>
    <mergeCell ref="F8:J8"/>
    <mergeCell ref="F10:J10"/>
    <mergeCell ref="F12:J12"/>
    <mergeCell ref="C2:L2"/>
  </mergeCells>
  <conditionalFormatting sqref="F4:J4 F8:J8 F12:J12 F16:J16 F18:J18 F10:J10">
    <cfRule type="containsBlanks" dxfId="40" priority="47">
      <formula>LEN(TRIM(F4))=0</formula>
    </cfRule>
  </conditionalFormatting>
  <conditionalFormatting sqref="M10:R10 F4:J4 F8:J8 F12:J12 F16:J16 F18:J18 F10:J10">
    <cfRule type="notContainsBlanks" dxfId="39" priority="46">
      <formula>LEN(TRIM(F4))&gt;0</formula>
    </cfRule>
  </conditionalFormatting>
  <conditionalFormatting sqref="K4 K6 K8 K10 K12 K16 K18">
    <cfRule type="notContainsBlanks" dxfId="38" priority="45">
      <formula>LEN(TRIM(K4))&gt;0</formula>
    </cfRule>
  </conditionalFormatting>
  <conditionalFormatting sqref="F14:J14">
    <cfRule type="containsBlanks" dxfId="37" priority="43">
      <formula>LEN(TRIM(F14))=0</formula>
    </cfRule>
  </conditionalFormatting>
  <conditionalFormatting sqref="F14:J14">
    <cfRule type="notContainsBlanks" dxfId="36" priority="42">
      <formula>LEN(TRIM(F14))&gt;0</formula>
    </cfRule>
  </conditionalFormatting>
  <conditionalFormatting sqref="K14">
    <cfRule type="notContainsBlanks" dxfId="35" priority="40">
      <formula>LEN(TRIM(K14))&gt;0</formula>
    </cfRule>
  </conditionalFormatting>
  <conditionalFormatting sqref="AA20">
    <cfRule type="cellIs" dxfId="34" priority="37" operator="equal">
      <formula>"Below Normal"</formula>
    </cfRule>
    <cfRule type="cellIs" dxfId="33" priority="38" operator="equal">
      <formula>"Below Normal"</formula>
    </cfRule>
  </conditionalFormatting>
  <conditionalFormatting sqref="L4">
    <cfRule type="cellIs" dxfId="32" priority="31" operator="equal">
      <formula>"Moderate Prediabetic"</formula>
    </cfRule>
    <cfRule type="cellIs" dxfId="31" priority="32" operator="equal">
      <formula>"High Risk"</formula>
    </cfRule>
    <cfRule type="cellIs" dxfId="30" priority="33" operator="equal">
      <formula>"Normal"</formula>
    </cfRule>
    <cfRule type="cellIs" dxfId="29" priority="34" operator="equal">
      <formula>"Below Normal"</formula>
    </cfRule>
  </conditionalFormatting>
  <conditionalFormatting sqref="L8">
    <cfRule type="cellIs" dxfId="28" priority="27" operator="equal">
      <formula>"Moderately High"</formula>
    </cfRule>
    <cfRule type="cellIs" dxfId="27" priority="28" operator="equal">
      <formula>"High Risk"</formula>
    </cfRule>
    <cfRule type="cellIs" dxfId="26" priority="29" operator="equal">
      <formula>"Normal"</formula>
    </cfRule>
    <cfRule type="cellIs" dxfId="25" priority="30" operator="equal">
      <formula>"Below Normal"</formula>
    </cfRule>
  </conditionalFormatting>
  <conditionalFormatting sqref="L10">
    <cfRule type="cellIs" dxfId="24" priority="23" operator="equal">
      <formula>"Moderately High"</formula>
    </cfRule>
    <cfRule type="cellIs" dxfId="23" priority="24" operator="equal">
      <formula>"High Risk"</formula>
    </cfRule>
    <cfRule type="cellIs" dxfId="22" priority="25" operator="equal">
      <formula>"Normal"</formula>
    </cfRule>
    <cfRule type="cellIs" dxfId="21" priority="26" operator="equal">
      <formula>"Below Normal"</formula>
    </cfRule>
  </conditionalFormatting>
  <conditionalFormatting sqref="L12">
    <cfRule type="cellIs" dxfId="20" priority="19" operator="equal">
      <formula>"Moderately High"</formula>
    </cfRule>
    <cfRule type="cellIs" dxfId="19" priority="20" operator="equal">
      <formula>"High Risk"</formula>
    </cfRule>
    <cfRule type="cellIs" dxfId="18" priority="21" operator="equal">
      <formula>"Normal"</formula>
    </cfRule>
    <cfRule type="cellIs" dxfId="17" priority="22" operator="equal">
      <formula>"Below Normal"</formula>
    </cfRule>
  </conditionalFormatting>
  <conditionalFormatting sqref="L14">
    <cfRule type="cellIs" dxfId="16" priority="15" operator="equal">
      <formula>"Moderately High"</formula>
    </cfRule>
    <cfRule type="cellIs" dxfId="15" priority="16" operator="equal">
      <formula>"High Risk"</formula>
    </cfRule>
    <cfRule type="cellIs" dxfId="14" priority="17" operator="equal">
      <formula>"Normal"</formula>
    </cfRule>
    <cfRule type="cellIs" dxfId="13" priority="18" operator="equal">
      <formula>"Below Normal"</formula>
    </cfRule>
  </conditionalFormatting>
  <conditionalFormatting sqref="L16">
    <cfRule type="cellIs" dxfId="12" priority="10" operator="equal">
      <formula>"Moderately High"</formula>
    </cfRule>
    <cfRule type="cellIs" dxfId="11" priority="11" operator="equal">
      <formula>"High Risk"</formula>
    </cfRule>
    <cfRule type="cellIs" dxfId="10" priority="12" operator="equal">
      <formula>"Normal"</formula>
    </cfRule>
    <cfRule type="cellIs" dxfId="9" priority="13" operator="equal">
      <formula>"Below Normal"</formula>
    </cfRule>
  </conditionalFormatting>
  <conditionalFormatting sqref="L18">
    <cfRule type="cellIs" dxfId="8" priority="6" operator="equal">
      <formula>"Moderately High"</formula>
    </cfRule>
    <cfRule type="cellIs" dxfId="7" priority="7" operator="equal">
      <formula>"High Risk"</formula>
    </cfRule>
    <cfRule type="cellIs" dxfId="6" priority="8" operator="equal">
      <formula>"Normal"</formula>
    </cfRule>
    <cfRule type="cellIs" dxfId="5" priority="9" operator="equal">
      <formula>"Below Nomal"</formula>
    </cfRule>
  </conditionalFormatting>
  <conditionalFormatting sqref="T12:U13">
    <cfRule type="expression" dxfId="4" priority="5">
      <formula>COUNTA(F4,F8,F10,F12,F14,F16,F18) =7</formula>
    </cfRule>
  </conditionalFormatting>
  <conditionalFormatting sqref="D5:E7">
    <cfRule type="notContainsBlanks" dxfId="3" priority="3">
      <formula>LEN(TRIM(D5))&gt;0</formula>
    </cfRule>
    <cfRule type="containsBlanks" dxfId="2" priority="49">
      <formula>LEN(TRIM(D5))=0</formula>
    </cfRule>
  </conditionalFormatting>
  <conditionalFormatting sqref="G5:J7">
    <cfRule type="notContainsBlanks" dxfId="1" priority="1">
      <formula>LEN(TRIM(G5))&gt;0</formula>
    </cfRule>
    <cfRule type="containsBlanks" dxfId="0" priority="48">
      <formula>LEN(TRIM(G5))=0</formula>
    </cfRule>
  </conditionalFormatting>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E51DE7-6E24-441F-95A2-4D8748F526EE}">
  <sheetPr codeName="Sheet6"/>
  <dimension ref="B2:H7"/>
  <sheetViews>
    <sheetView topLeftCell="A2" workbookViewId="0">
      <selection activeCell="A4" sqref="A4:XFD4"/>
    </sheetView>
  </sheetViews>
  <sheetFormatPr defaultRowHeight="14.4" x14ac:dyDescent="0.3"/>
  <cols>
    <col min="2" max="2" width="16.5546875" customWidth="1"/>
    <col min="3" max="3" width="12.33203125" bestFit="1" customWidth="1"/>
    <col min="4" max="4" width="10.6640625" bestFit="1" customWidth="1"/>
    <col min="5" max="5" width="20.6640625" bestFit="1" customWidth="1"/>
    <col min="6" max="6" width="16.109375" bestFit="1" customWidth="1"/>
    <col min="7" max="7" width="12.88671875" bestFit="1" customWidth="1"/>
    <col min="8" max="8" width="26.21875" bestFit="1" customWidth="1"/>
    <col min="9" max="10" width="10.6640625" bestFit="1" customWidth="1"/>
  </cols>
  <sheetData>
    <row r="2" spans="2:8" x14ac:dyDescent="0.3">
      <c r="B2" s="10" t="s">
        <v>14</v>
      </c>
      <c r="C2" s="13" t="s">
        <v>28</v>
      </c>
      <c r="D2" s="13" t="s">
        <v>31</v>
      </c>
      <c r="E2" s="10" t="s">
        <v>19</v>
      </c>
      <c r="F2" s="10" t="s">
        <v>20</v>
      </c>
      <c r="G2" s="10" t="s">
        <v>22</v>
      </c>
      <c r="H2" s="10" t="s">
        <v>24</v>
      </c>
    </row>
    <row r="3" spans="2:8" hidden="1" x14ac:dyDescent="0.3">
      <c r="B3">
        <v>500</v>
      </c>
      <c r="C3">
        <v>45</v>
      </c>
      <c r="D3">
        <v>45</v>
      </c>
      <c r="E3">
        <v>67</v>
      </c>
      <c r="F3">
        <v>56</v>
      </c>
      <c r="G3">
        <v>500</v>
      </c>
      <c r="H3">
        <v>34</v>
      </c>
    </row>
    <row r="4" spans="2:8" x14ac:dyDescent="0.3">
      <c r="B4">
        <v>300</v>
      </c>
      <c r="C4">
        <v>23</v>
      </c>
      <c r="D4">
        <v>5</v>
      </c>
      <c r="E4">
        <v>7</v>
      </c>
      <c r="F4">
        <v>500</v>
      </c>
      <c r="G4">
        <v>400</v>
      </c>
      <c r="H4">
        <v>7</v>
      </c>
    </row>
    <row r="5" spans="2:8" x14ac:dyDescent="0.3">
      <c r="B5">
        <v>200</v>
      </c>
      <c r="C5">
        <v>54</v>
      </c>
      <c r="D5">
        <v>6</v>
      </c>
      <c r="E5">
        <v>50</v>
      </c>
      <c r="F5">
        <v>400</v>
      </c>
      <c r="G5">
        <v>300</v>
      </c>
      <c r="H5">
        <v>67</v>
      </c>
    </row>
    <row r="6" spans="2:8" x14ac:dyDescent="0.3">
      <c r="B6">
        <v>12</v>
      </c>
      <c r="C6">
        <v>5</v>
      </c>
      <c r="D6">
        <v>5</v>
      </c>
      <c r="E6">
        <v>5</v>
      </c>
      <c r="F6">
        <v>5</v>
      </c>
      <c r="G6">
        <v>5</v>
      </c>
      <c r="H6">
        <v>5</v>
      </c>
    </row>
    <row r="7" spans="2:8" x14ac:dyDescent="0.3">
      <c r="B7">
        <v>70</v>
      </c>
      <c r="C7">
        <v>90</v>
      </c>
      <c r="D7">
        <v>60</v>
      </c>
      <c r="E7">
        <v>20</v>
      </c>
      <c r="F7">
        <v>3</v>
      </c>
      <c r="G7">
        <v>26</v>
      </c>
      <c r="H7">
        <v>6</v>
      </c>
    </row>
  </sheetData>
  <phoneticPr fontId="27"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18C423-3FDE-4DB5-AB1B-CDD3B48122CE}">
  <sheetPr codeName="Sheet7"/>
  <dimension ref="B9:H9"/>
  <sheetViews>
    <sheetView workbookViewId="0">
      <selection activeCell="B9" sqref="B9:H9"/>
    </sheetView>
  </sheetViews>
  <sheetFormatPr defaultRowHeight="14.4" x14ac:dyDescent="0.3"/>
  <sheetData>
    <row r="9" spans="2:8" x14ac:dyDescent="0.3">
      <c r="B9">
        <v>500</v>
      </c>
      <c r="C9">
        <v>45</v>
      </c>
      <c r="D9">
        <v>45</v>
      </c>
      <c r="E9">
        <v>67</v>
      </c>
      <c r="F9">
        <v>56</v>
      </c>
      <c r="G9">
        <v>500</v>
      </c>
      <c r="H9">
        <v>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diabetes Dataset</vt:lpstr>
      <vt:lpstr>Pivot Table</vt:lpstr>
      <vt:lpstr>Dashboard</vt:lpstr>
      <vt:lpstr>parameters</vt:lpstr>
      <vt:lpstr>App</vt:lpstr>
      <vt:lpstr>Data</vt:lpstr>
      <vt:lpstr>wrogh </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Oluwafemi Omoniyi</cp:lastModifiedBy>
  <dcterms:created xsi:type="dcterms:W3CDTF">2025-05-24T17:42:49Z</dcterms:created>
  <dcterms:modified xsi:type="dcterms:W3CDTF">2025-05-25T08:15:09Z</dcterms:modified>
</cp:coreProperties>
</file>