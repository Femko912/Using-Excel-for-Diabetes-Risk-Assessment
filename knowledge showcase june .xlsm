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USER\Desktop\test\"/>
    </mc:Choice>
  </mc:AlternateContent>
  <xr:revisionPtr revIDLastSave="0" documentId="13_ncr:1_{61960761-C99D-460F-A7DA-BC798096E3D9}" xr6:coauthVersionLast="47" xr6:coauthVersionMax="47" xr10:uidLastSave="{00000000-0000-0000-0000-000000000000}"/>
  <bookViews>
    <workbookView xWindow="-108" yWindow="-108" windowWidth="23256" windowHeight="12456" activeTab="1" xr2:uid="{3463A320-096E-4036-BDE5-545DB2C1E961}"/>
  </bookViews>
  <sheets>
    <sheet name="parameters" sheetId="2" r:id="rId1"/>
    <sheet name="App" sheetId="5" r:id="rId2"/>
    <sheet name="Data" sheetId="6" r:id="rId3"/>
    <sheet name="wrogh " sheetId="7" r:id="rId4"/>
  </sheets>
  <definedNames>
    <definedName name="_xleta.EVEN" hidden="1" xlm="1">#NAME?</definedName>
    <definedName name="_xleta.IF" hidden="1" xlm="1">#NAME?</definedName>
    <definedName name="_xleta.OD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1" i="5" l="1"/>
  <c r="G5" i="5" s="1"/>
  <c r="L18" i="5"/>
  <c r="L16" i="5"/>
  <c r="L14" i="5"/>
  <c r="L12" i="5"/>
  <c r="L10" i="5"/>
  <c r="L8" i="5"/>
  <c r="L4" i="5"/>
  <c r="U10" i="5"/>
  <c r="K14" i="5"/>
  <c r="U7" i="5"/>
  <c r="U3" i="5"/>
  <c r="U4" i="5"/>
  <c r="U5" i="5"/>
  <c r="U6" i="5"/>
  <c r="U8" i="5"/>
  <c r="U9" i="5"/>
  <c r="K18" i="5"/>
  <c r="K16" i="5"/>
  <c r="K12" i="5"/>
  <c r="K10" i="5"/>
  <c r="K8" i="5"/>
  <c r="K6" i="5"/>
  <c r="K4" i="5"/>
  <c r="D5" i="5" l="1"/>
</calcChain>
</file>

<file path=xl/sharedStrings.xml><?xml version="1.0" encoding="utf-8"?>
<sst xmlns="http://schemas.openxmlformats.org/spreadsheetml/2006/main" count="96" uniqueCount="70">
  <si>
    <t>Glucose (mg/dL)</t>
  </si>
  <si>
    <t>Parameter</t>
  </si>
  <si>
    <t>High Risk</t>
  </si>
  <si>
    <t>70 – 99</t>
  </si>
  <si>
    <t>Blood Pressure (mm Hg)</t>
  </si>
  <si>
    <t>Skin Thickness (mm)</t>
  </si>
  <si>
    <t>Insulin (μU/mL)</t>
  </si>
  <si>
    <t>2 – 25</t>
  </si>
  <si>
    <t>BMI (kg/m²)</t>
  </si>
  <si>
    <t>18.5 – 24.9</t>
  </si>
  <si>
    <t>Diabetes Pedigree Function</t>
  </si>
  <si>
    <t>Normal Range</t>
  </si>
  <si>
    <t>Abnormal Range</t>
  </si>
  <si>
    <t>&lt; 70 or ≥ 100</t>
  </si>
  <si>
    <t>systolic</t>
  </si>
  <si>
    <t xml:space="preserve"> 90 - 120 </t>
  </si>
  <si>
    <t>&lt;90 - &gt;120</t>
  </si>
  <si>
    <t>Diastolic</t>
  </si>
  <si>
    <t>60 - 80</t>
  </si>
  <si>
    <t>10 – 35</t>
  </si>
  <si>
    <t>&lt; 10 or &gt; 35</t>
  </si>
  <si>
    <t>&lt; 2 or &gt; 25</t>
  </si>
  <si>
    <t>&lt; 18.5 or ≥ 25</t>
  </si>
  <si>
    <t>0.0 – 0.5</t>
  </si>
  <si>
    <t>&gt; 0.5</t>
  </si>
  <si>
    <t>&lt;60 - &gt;80</t>
  </si>
  <si>
    <t>Submit</t>
  </si>
  <si>
    <t>Calculations</t>
  </si>
  <si>
    <t>Submit  Calculation</t>
  </si>
  <si>
    <t>Value</t>
  </si>
  <si>
    <t>70 - 90</t>
  </si>
  <si>
    <t>90-119</t>
  </si>
  <si>
    <t>60 - 79</t>
  </si>
  <si>
    <t>18.5 - 24.9</t>
  </si>
  <si>
    <t>0.2 - 0.5</t>
  </si>
  <si>
    <t>&lt; 90 , &gt;139</t>
  </si>
  <si>
    <t>&lt; 70 , &gt;125</t>
  </si>
  <si>
    <t>10 - 35</t>
  </si>
  <si>
    <t>2 - 25</t>
  </si>
  <si>
    <t>&lt; 60 , &gt;89</t>
  </si>
  <si>
    <t>&lt; 10 , &gt;50</t>
  </si>
  <si>
    <t>&lt; 2 , &gt;100</t>
  </si>
  <si>
    <t>&lt; 18.5 , &gt; 30</t>
  </si>
  <si>
    <t>&lt; 0.2 , &gt;0.8</t>
  </si>
  <si>
    <t xml:space="preserve">Normal </t>
  </si>
  <si>
    <t>Scoring System for Each Test</t>
  </si>
  <si>
    <t>0  Points</t>
  </si>
  <si>
    <t>1  Points</t>
  </si>
  <si>
    <t>4  Points</t>
  </si>
  <si>
    <t xml:space="preserve">Moderate </t>
  </si>
  <si>
    <t>high Risk</t>
  </si>
  <si>
    <t>Total Score Range</t>
  </si>
  <si>
    <t>0-5</t>
  </si>
  <si>
    <t>6-10</t>
  </si>
  <si>
    <t>11+</t>
  </si>
  <si>
    <t xml:space="preserve">Low Risk </t>
  </si>
  <si>
    <t>Total Points</t>
  </si>
  <si>
    <t>Automated risk prediction</t>
  </si>
  <si>
    <t>Pattern recognition</t>
  </si>
  <si>
    <t>Personalized assessment</t>
  </si>
  <si>
    <t>Data integration</t>
  </si>
  <si>
    <t>Decision support</t>
  </si>
  <si>
    <t>Process automation</t>
  </si>
  <si>
    <t>Scalability</t>
  </si>
  <si>
    <t>Visual representation</t>
  </si>
  <si>
    <t>Continuous improvement</t>
  </si>
  <si>
    <t xml:space="preserve">Insight on how AI has helped me </t>
  </si>
  <si>
    <t>Generate Excel  formular to predict  diabetes risk level of an individual considering some standard test to run. consider those test critically and also consider the scoring system which is used to actualize the diabetes risk level</t>
  </si>
  <si>
    <t>AI Prompt Question</t>
  </si>
  <si>
    <t>AI Powered Diabetes Risk Level  Prediction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</si>
</sst>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theme="1"/>
      <name val="Wingdings 2"/>
      <family val="1"/>
      <charset val="2"/>
    </font>
    <font>
      <sz val="11"/>
      <color theme="1"/>
      <name val="Arial Black"/>
      <family val="2"/>
    </font>
    <font>
      <sz val="14"/>
      <color theme="1"/>
      <name val="Aptos Narrow"/>
      <family val="2"/>
      <scheme val="minor"/>
    </font>
    <font>
      <b/>
      <sz val="26"/>
      <color theme="3" tint="0.499984740745262"/>
      <name val="Aptos Narrow"/>
      <family val="2"/>
      <scheme val="minor"/>
    </font>
    <font>
      <b/>
      <sz val="36"/>
      <color theme="1"/>
      <name val="Aptos Narrow"/>
      <family val="2"/>
      <scheme val="minor"/>
    </font>
    <font>
      <b/>
      <sz val="28"/>
      <color theme="1"/>
      <name val="Aptos Narrow"/>
      <family val="2"/>
      <scheme val="minor"/>
    </font>
    <font>
      <b/>
      <sz val="20"/>
      <color theme="4" tint="0.39997558519241921"/>
      <name val="Aptos Narrow"/>
      <family val="2"/>
      <scheme val="minor"/>
    </font>
    <font>
      <b/>
      <sz val="11"/>
      <color theme="3" tint="0.249977111117893"/>
      <name val="Aptos Narrow"/>
      <family val="2"/>
      <scheme val="minor"/>
    </font>
    <font>
      <b/>
      <sz val="12"/>
      <color theme="1"/>
      <name val="Aptos Narrow"/>
      <family val="2"/>
      <scheme val="minor"/>
    </font>
    <font>
      <sz val="8"/>
      <name val="Aptos Narrow"/>
      <family val="2"/>
      <scheme val="minor"/>
    </font>
    <font>
      <b/>
      <sz val="10"/>
      <color rgb="FF333333"/>
      <name val="Arial"/>
      <family val="2"/>
    </font>
    <font>
      <b/>
      <sz val="16"/>
      <color theme="1"/>
      <name val="Aptos Narrow"/>
      <family val="2"/>
      <scheme val="minor"/>
    </font>
    <font>
      <b/>
      <sz val="12"/>
      <color rgb="FF333333"/>
      <name val="Arial"/>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1" tint="0.499984740745262"/>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C000"/>
      </left>
      <right style="thick">
        <color rgb="FFFFC000"/>
      </right>
      <top style="thick">
        <color rgb="FFFFC000"/>
      </top>
      <bottom style="thick">
        <color rgb="FFFFC000"/>
      </bottom>
      <diagonal/>
    </border>
    <border>
      <left style="thick">
        <color rgb="FFFFC000"/>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style="thick">
        <color rgb="FFFFC000"/>
      </right>
      <top/>
      <bottom style="thick">
        <color rgb="FFFFC000"/>
      </bottom>
      <diagonal/>
    </border>
    <border>
      <left/>
      <right/>
      <top style="thick">
        <color rgb="FFFFC000"/>
      </top>
      <bottom/>
      <diagonal/>
    </border>
    <border>
      <left/>
      <right/>
      <top/>
      <bottom style="thick">
        <color rgb="FFFFC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8">
    <xf numFmtId="0" fontId="0" fillId="0" borderId="0" xfId="0"/>
    <xf numFmtId="0" fontId="0" fillId="0" borderId="10" xfId="0" applyBorder="1"/>
    <xf numFmtId="0" fontId="16" fillId="0" borderId="10" xfId="0" applyFont="1" applyBorder="1" applyAlignment="1">
      <alignment horizontal="center" vertical="top"/>
    </xf>
    <xf numFmtId="0" fontId="16" fillId="0" borderId="10" xfId="0" applyFont="1" applyBorder="1"/>
    <xf numFmtId="0" fontId="0" fillId="0" borderId="10" xfId="0" applyBorder="1" applyAlignment="1">
      <alignment horizontal="center"/>
    </xf>
    <xf numFmtId="0" fontId="16" fillId="0" borderId="12" xfId="0" applyFont="1" applyBorder="1"/>
    <xf numFmtId="0" fontId="16" fillId="0" borderId="12" xfId="0" applyFont="1" applyBorder="1" applyAlignment="1">
      <alignment horizontal="left"/>
    </xf>
    <xf numFmtId="0" fontId="16" fillId="0" borderId="10" xfId="0" applyFont="1" applyBorder="1" applyAlignment="1">
      <alignment horizontal="left"/>
    </xf>
    <xf numFmtId="49" fontId="0" fillId="0" borderId="0" xfId="0" applyNumberFormat="1"/>
    <xf numFmtId="0" fontId="0" fillId="33" borderId="0" xfId="0" applyFill="1"/>
    <xf numFmtId="0" fontId="19" fillId="33" borderId="0" xfId="0" applyFont="1" applyFill="1"/>
    <xf numFmtId="0" fontId="16" fillId="33" borderId="13" xfId="0" applyFont="1" applyFill="1" applyBorder="1"/>
    <xf numFmtId="0" fontId="16" fillId="33" borderId="24" xfId="0" applyFont="1" applyFill="1" applyBorder="1" applyAlignment="1">
      <alignment horizontal="center"/>
    </xf>
    <xf numFmtId="0" fontId="16" fillId="33" borderId="25" xfId="0" applyFont="1" applyFill="1" applyBorder="1" applyAlignment="1">
      <alignment horizontal="center"/>
    </xf>
    <xf numFmtId="0" fontId="16" fillId="33" borderId="13" xfId="0" applyFont="1" applyFill="1" applyBorder="1" applyAlignment="1">
      <alignment horizontal="center"/>
    </xf>
    <xf numFmtId="0" fontId="0" fillId="33" borderId="0" xfId="0" applyFill="1" applyAlignment="1">
      <alignment horizontal="center"/>
    </xf>
    <xf numFmtId="0" fontId="16" fillId="33" borderId="0" xfId="0" applyFont="1" applyFill="1" applyAlignment="1">
      <alignment horizontal="center"/>
    </xf>
    <xf numFmtId="49" fontId="16" fillId="33" borderId="24" xfId="0" applyNumberFormat="1" applyFont="1" applyFill="1" applyBorder="1" applyAlignment="1">
      <alignment horizontal="center"/>
    </xf>
    <xf numFmtId="0" fontId="16" fillId="33" borderId="10" xfId="0" applyFont="1" applyFill="1" applyBorder="1"/>
    <xf numFmtId="0" fontId="26" fillId="33" borderId="0" xfId="0" applyFont="1" applyFill="1"/>
    <xf numFmtId="0" fontId="0" fillId="33" borderId="15" xfId="0" applyFill="1" applyBorder="1"/>
    <xf numFmtId="49" fontId="16" fillId="33" borderId="10" xfId="0" applyNumberFormat="1" applyFont="1" applyFill="1" applyBorder="1"/>
    <xf numFmtId="0" fontId="0" fillId="34" borderId="0" xfId="0" applyFill="1"/>
    <xf numFmtId="0" fontId="18" fillId="34" borderId="10" xfId="0" applyFont="1" applyFill="1" applyBorder="1"/>
    <xf numFmtId="0" fontId="20" fillId="34" borderId="10" xfId="0" applyFont="1" applyFill="1" applyBorder="1"/>
    <xf numFmtId="0" fontId="18" fillId="34" borderId="0" xfId="0" applyFont="1" applyFill="1"/>
    <xf numFmtId="0" fontId="29" fillId="33" borderId="0" xfId="0" applyFont="1" applyFill="1"/>
    <xf numFmtId="0" fontId="28" fillId="33" borderId="0" xfId="0" applyFont="1" applyFill="1" applyAlignment="1">
      <alignment horizontal="left" vertical="center" wrapText="1" indent="1"/>
    </xf>
    <xf numFmtId="0" fontId="30" fillId="33" borderId="0" xfId="0" applyFont="1" applyFill="1" applyAlignment="1">
      <alignment horizontal="left" vertical="center" wrapText="1" indent="1"/>
    </xf>
    <xf numFmtId="0" fontId="0" fillId="33" borderId="0" xfId="0" applyFill="1" applyAlignment="1">
      <alignment wrapText="1"/>
    </xf>
    <xf numFmtId="0" fontId="24" fillId="33" borderId="0" xfId="0" applyFont="1" applyFill="1" applyAlignment="1">
      <alignment horizontal="center"/>
    </xf>
    <xf numFmtId="0" fontId="21" fillId="0" borderId="0" xfId="0" applyFont="1" applyAlignment="1">
      <alignment horizontal="center"/>
    </xf>
    <xf numFmtId="0" fontId="0" fillId="33" borderId="14" xfId="0" applyFill="1" applyBorder="1" applyAlignment="1">
      <alignment horizontal="center"/>
    </xf>
    <xf numFmtId="0" fontId="0" fillId="33" borderId="11" xfId="0" applyFill="1" applyBorder="1" applyAlignment="1">
      <alignment horizontal="center"/>
    </xf>
    <xf numFmtId="0" fontId="0" fillId="33" borderId="12" xfId="0" applyFill="1" applyBorder="1" applyAlignment="1">
      <alignment horizontal="center"/>
    </xf>
    <xf numFmtId="0" fontId="0" fillId="33" borderId="10" xfId="0" applyFill="1" applyBorder="1" applyAlignment="1">
      <alignment horizontal="center"/>
    </xf>
    <xf numFmtId="0" fontId="25" fillId="33" borderId="10" xfId="0" applyFont="1" applyFill="1" applyBorder="1" applyAlignment="1">
      <alignment horizontal="center"/>
    </xf>
    <xf numFmtId="0" fontId="22" fillId="33" borderId="18" xfId="0" applyFont="1" applyFill="1" applyBorder="1" applyAlignment="1">
      <alignment horizontal="center"/>
    </xf>
    <xf numFmtId="0" fontId="22" fillId="33" borderId="19" xfId="0" applyFont="1" applyFill="1" applyBorder="1" applyAlignment="1">
      <alignment horizontal="center"/>
    </xf>
    <xf numFmtId="0" fontId="23" fillId="33" borderId="16" xfId="0" applyFont="1" applyFill="1" applyBorder="1" applyAlignment="1">
      <alignment horizontal="center"/>
    </xf>
    <xf numFmtId="0" fontId="23" fillId="33" borderId="22" xfId="0" applyFont="1" applyFill="1" applyBorder="1" applyAlignment="1">
      <alignment horizontal="center"/>
    </xf>
    <xf numFmtId="0" fontId="23" fillId="33" borderId="17" xfId="0" applyFont="1" applyFill="1" applyBorder="1" applyAlignment="1">
      <alignment horizontal="center"/>
    </xf>
    <xf numFmtId="0" fontId="23" fillId="33" borderId="18" xfId="0" applyFont="1" applyFill="1" applyBorder="1" applyAlignment="1">
      <alignment horizontal="center"/>
    </xf>
    <xf numFmtId="0" fontId="23" fillId="33" borderId="0" xfId="0" applyFont="1" applyFill="1" applyAlignment="1">
      <alignment horizontal="center"/>
    </xf>
    <xf numFmtId="0" fontId="23" fillId="33" borderId="19" xfId="0" applyFont="1" applyFill="1" applyBorder="1" applyAlignment="1">
      <alignment horizontal="center"/>
    </xf>
    <xf numFmtId="0" fontId="23" fillId="33" borderId="20" xfId="0" applyFont="1" applyFill="1" applyBorder="1" applyAlignment="1">
      <alignment horizontal="center"/>
    </xf>
    <xf numFmtId="0" fontId="23" fillId="33" borderId="23" xfId="0" applyFont="1" applyFill="1" applyBorder="1" applyAlignment="1">
      <alignment horizontal="center"/>
    </xf>
    <xf numFmtId="0" fontId="23" fillId="33" borderId="21" xfId="0"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6">
    <dxf>
      <fill>
        <patternFill>
          <bgColor theme="4" tint="0.79998168889431442"/>
        </patternFill>
      </fill>
    </dxf>
    <dxf>
      <fill>
        <patternFill>
          <bgColor rgb="FFFF0000"/>
        </patternFill>
      </fill>
    </dxf>
    <dxf>
      <fill>
        <patternFill>
          <bgColor theme="4" tint="0.79998168889431442"/>
        </patternFill>
      </fill>
    </dxf>
    <dxf>
      <fill>
        <patternFill>
          <bgColor theme="9"/>
        </patternFill>
      </fill>
    </dxf>
    <dxf>
      <fill>
        <patternFill>
          <bgColor theme="6" tint="0.39994506668294322"/>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strike val="0"/>
        <color theme="0"/>
      </font>
      <fill>
        <patternFill>
          <bgColor rgb="FFC00000"/>
        </patternFill>
      </fill>
    </dxf>
    <dxf>
      <fill>
        <patternFill>
          <bgColor rgb="FFFFFF00"/>
        </patternFill>
      </fill>
    </dxf>
    <dxf>
      <fill>
        <patternFill>
          <bgColor rgb="FFFFFF00"/>
        </patternFill>
      </fill>
    </dxf>
    <dxf>
      <font>
        <b val="0"/>
        <i val="0"/>
        <color theme="0"/>
      </font>
      <fill>
        <patternFill>
          <bgColor theme="9"/>
        </patternFill>
      </fill>
    </dxf>
    <dxf>
      <fill>
        <patternFill>
          <bgColor theme="9" tint="0.79998168889431442"/>
        </patternFill>
      </fill>
    </dxf>
    <dxf>
      <fill>
        <patternFill>
          <bgColor theme="3" tint="0.89996032593768116"/>
        </patternFill>
      </fill>
    </dxf>
    <dxf>
      <font>
        <b val="0"/>
        <i val="0"/>
        <color theme="0"/>
      </font>
      <fill>
        <patternFill>
          <bgColor theme="9"/>
        </patternFill>
      </fill>
    </dxf>
    <dxf>
      <fill>
        <patternFill>
          <bgColor theme="9" tint="0.79998168889431442"/>
        </patternFill>
      </fill>
    </dxf>
    <dxf>
      <fill>
        <patternFill>
          <bgColor theme="3" tint="0.89996032593768116"/>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font>
        <b/>
        <color theme="1"/>
      </font>
      <border>
        <bottom style="thin">
          <color theme="0" tint="-0.34998626667073579"/>
        </bottom>
        <vertical/>
        <horizontal/>
      </border>
    </dxf>
    <dxf>
      <font>
        <color theme="1"/>
      </font>
      <fill>
        <patternFill>
          <bgColor theme="3" tint="0.89996032593768116"/>
        </patternFill>
      </fill>
      <border diagonalUp="0" diagonalDown="0">
        <left/>
        <right/>
        <top/>
        <bottom/>
        <vertical/>
        <horizontal/>
      </border>
    </dxf>
  </dxfs>
  <tableStyles count="1" defaultTableStyle="TableStyleMedium2" defaultPivotStyle="PivotStyleLight16">
    <tableStyle name="SlicerStyleOther1 2" pivot="0" table="0" count="10" xr9:uid="{CDAFEEE9-02E8-445E-A4F9-24DD96964853}">
      <tableStyleElement type="wholeTable" dxfId="45"/>
      <tableStyleElement type="headerRow" dxfId="44"/>
    </tableStyle>
  </tableStyles>
  <colors>
    <mruColors>
      <color rgb="FF000000"/>
      <color rgb="FF2484BF"/>
      <color rgb="FF112A40"/>
      <color rgb="FF141C2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594360</xdr:colOff>
          <xdr:row>19</xdr:row>
          <xdr:rowOff>7620</xdr:rowOff>
        </xdr:from>
        <xdr:to>
          <xdr:col>8</xdr:col>
          <xdr:colOff>594360</xdr:colOff>
          <xdr:row>21</xdr:row>
          <xdr:rowOff>22860</xdr:rowOff>
        </xdr:to>
        <xdr:pic macro="[0]!talent">
          <xdr:nvPicPr>
            <xdr:cNvPr id="4" name="Picture 3">
              <a:extLst>
                <a:ext uri="{FF2B5EF4-FFF2-40B4-BE49-F238E27FC236}">
                  <a16:creationId xmlns:a16="http://schemas.microsoft.com/office/drawing/2014/main" id="{4FA41EDF-68B5-4137-0892-84C30CEC637A}"/>
                </a:ext>
              </a:extLst>
            </xdr:cNvPr>
            <xdr:cNvPicPr>
              <a:picLocks noChangeAspect="1" noChangeArrowheads="1"/>
              <a:extLst>
                <a:ext uri="{84589F7E-364E-4C9E-8A38-B11213B215E9}">
                  <a14:cameraTool cellRange="$T$12" spid="_x0000_s5200"/>
                </a:ext>
              </a:extLst>
            </xdr:cNvPicPr>
          </xdr:nvPicPr>
          <xdr:blipFill>
            <a:blip xmlns:r="http://schemas.openxmlformats.org/officeDocument/2006/relationships" r:embed="rId1"/>
            <a:srcRect/>
            <a:stretch>
              <a:fillRect/>
            </a:stretch>
          </xdr:blipFill>
          <xdr:spPr bwMode="auto">
            <a:xfrm>
              <a:off x="6522720" y="4152900"/>
              <a:ext cx="1219200" cy="4191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xdr:twoCellAnchor>
    <xdr:from>
      <xdr:col>2</xdr:col>
      <xdr:colOff>99060</xdr:colOff>
      <xdr:row>6</xdr:row>
      <xdr:rowOff>15240</xdr:rowOff>
    </xdr:from>
    <xdr:to>
      <xdr:col>2</xdr:col>
      <xdr:colOff>350520</xdr:colOff>
      <xdr:row>7</xdr:row>
      <xdr:rowOff>99060</xdr:rowOff>
    </xdr:to>
    <xdr:sp macro="" textlink="">
      <xdr:nvSpPr>
        <xdr:cNvPr id="5" name="Arrow: Down 4">
          <a:extLst>
            <a:ext uri="{FF2B5EF4-FFF2-40B4-BE49-F238E27FC236}">
              <a16:creationId xmlns:a16="http://schemas.microsoft.com/office/drawing/2014/main" id="{F5DAC203-1589-16BA-4EBF-5E4D24BD4EE3}"/>
            </a:ext>
          </a:extLst>
        </xdr:cNvPr>
        <xdr:cNvSpPr/>
      </xdr:nvSpPr>
      <xdr:spPr>
        <a:xfrm>
          <a:off x="1318260" y="1539240"/>
          <a:ext cx="251460" cy="274320"/>
        </a:xfrm>
        <a:prstGeom prst="downArrow">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1173480</xdr:colOff>
      <xdr:row>6</xdr:row>
      <xdr:rowOff>15240</xdr:rowOff>
    </xdr:from>
    <xdr:to>
      <xdr:col>2</xdr:col>
      <xdr:colOff>1424940</xdr:colOff>
      <xdr:row>9</xdr:row>
      <xdr:rowOff>60960</xdr:rowOff>
    </xdr:to>
    <xdr:sp macro="" textlink="">
      <xdr:nvSpPr>
        <xdr:cNvPr id="6" name="Arrow: Down 5">
          <a:extLst>
            <a:ext uri="{FF2B5EF4-FFF2-40B4-BE49-F238E27FC236}">
              <a16:creationId xmlns:a16="http://schemas.microsoft.com/office/drawing/2014/main" id="{C037D112-D19A-4057-82FA-79024F485724}"/>
            </a:ext>
          </a:extLst>
        </xdr:cNvPr>
        <xdr:cNvSpPr/>
      </xdr:nvSpPr>
      <xdr:spPr>
        <a:xfrm>
          <a:off x="2392680" y="1539240"/>
          <a:ext cx="251460" cy="655320"/>
        </a:xfrm>
        <a:prstGeom prst="downArrow">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474214</xdr:colOff>
      <xdr:row>0</xdr:row>
      <xdr:rowOff>152400</xdr:rowOff>
    </xdr:from>
    <xdr:to>
      <xdr:col>2</xdr:col>
      <xdr:colOff>1066800</xdr:colOff>
      <xdr:row>1</xdr:row>
      <xdr:rowOff>304800</xdr:rowOff>
    </xdr:to>
    <xdr:pic>
      <xdr:nvPicPr>
        <xdr:cNvPr id="7" name="Picture 6">
          <a:extLst>
            <a:ext uri="{FF2B5EF4-FFF2-40B4-BE49-F238E27FC236}">
              <a16:creationId xmlns:a16="http://schemas.microsoft.com/office/drawing/2014/main" id="{9F581D5F-2172-42A6-A9D6-2F84FD6ECBF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93414" y="152400"/>
          <a:ext cx="592586" cy="335280"/>
        </a:xfrm>
        <a:prstGeom prst="rect">
          <a:avLst/>
        </a:prstGeom>
      </xdr:spPr>
    </xdr:pic>
    <xdr:clientData/>
  </xdr:twoCellAnchor>
  <xdr:twoCellAnchor>
    <xdr:from>
      <xdr:col>3</xdr:col>
      <xdr:colOff>1127760</xdr:colOff>
      <xdr:row>6</xdr:row>
      <xdr:rowOff>182880</xdr:rowOff>
    </xdr:from>
    <xdr:to>
      <xdr:col>3</xdr:col>
      <xdr:colOff>1127760</xdr:colOff>
      <xdr:row>17</xdr:row>
      <xdr:rowOff>228600</xdr:rowOff>
    </xdr:to>
    <xdr:cxnSp macro="">
      <xdr:nvCxnSpPr>
        <xdr:cNvPr id="3" name="Straight Connector 2">
          <a:extLst>
            <a:ext uri="{FF2B5EF4-FFF2-40B4-BE49-F238E27FC236}">
              <a16:creationId xmlns:a16="http://schemas.microsoft.com/office/drawing/2014/main" id="{1A8AD5EE-2CB4-58D0-5E61-85728887F23D}"/>
            </a:ext>
          </a:extLst>
        </xdr:cNvPr>
        <xdr:cNvCxnSpPr/>
      </xdr:nvCxnSpPr>
      <xdr:spPr>
        <a:xfrm>
          <a:off x="3992880" y="1531620"/>
          <a:ext cx="0" cy="237744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1120140</xdr:colOff>
      <xdr:row>2</xdr:row>
      <xdr:rowOff>213360</xdr:rowOff>
    </xdr:from>
    <xdr:to>
      <xdr:col>3</xdr:col>
      <xdr:colOff>1120140</xdr:colOff>
      <xdr:row>4</xdr:row>
      <xdr:rowOff>15240</xdr:rowOff>
    </xdr:to>
    <xdr:cxnSp macro="">
      <xdr:nvCxnSpPr>
        <xdr:cNvPr id="8" name="Straight Connector 7">
          <a:extLst>
            <a:ext uri="{FF2B5EF4-FFF2-40B4-BE49-F238E27FC236}">
              <a16:creationId xmlns:a16="http://schemas.microsoft.com/office/drawing/2014/main" id="{B786AA3D-D5AF-4375-A6AC-EC8881E0ED77}"/>
            </a:ext>
          </a:extLst>
        </xdr:cNvPr>
        <xdr:cNvCxnSpPr/>
      </xdr:nvCxnSpPr>
      <xdr:spPr>
        <a:xfrm>
          <a:off x="3985260" y="723900"/>
          <a:ext cx="0" cy="26670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42705-7765-4BCD-AC05-A3BBA72149AB}" name="Table2" displayName="Table2" ref="B2:H36" totalsRowShown="0" headerRowDxfId="43" headerRowBorderDxfId="42" tableBorderDxfId="41">
  <autoFilter ref="B2:H36" xr:uid="{F6242705-7765-4BCD-AC05-A3BBA72149AB}"/>
  <tableColumns count="7">
    <tableColumn id="1" xr3:uid="{E76929CF-0FA8-4175-A972-27053714C542}" name="Glucose (mg/dL)"/>
    <tableColumn id="2" xr3:uid="{4936A2C5-8CFC-4DD4-97B8-373DFF3828EE}" name="systolic"/>
    <tableColumn id="3" xr3:uid="{03DBE257-1FAA-450A-8B6E-5EA7832868B8}" name="Diastolic"/>
    <tableColumn id="4" xr3:uid="{A284063A-1479-4B0D-82A5-BBF003AD96B3}" name="Skin Thickness (mm)"/>
    <tableColumn id="5" xr3:uid="{1577F69B-DE37-4EDB-8ACE-1A3CA03240D5}" name="Insulin (μU/mL)"/>
    <tableColumn id="6" xr3:uid="{83905DFB-C676-433D-9896-379F39DFF018}" name="BMI (kg/m²)"/>
    <tableColumn id="7" xr3:uid="{73D02B87-3D3B-4947-9A5A-DEB2BA798B5C}" name="Diabetes Pedigree Func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 dockstate="right" visibility="0" width="438" row="5">
    <wetp:webextensionref xmlns:r="http://schemas.openxmlformats.org/officeDocument/2006/relationships" r:id="rId2"/>
  </wetp:taskpane>
  <wetp:taskpane dockstate="right" visibility="0" width="438"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0AF3E3DA-03BE-480B-A0B8-2CCF614734CF}">
  <we:reference id="wa200001584" version="3.0.5.6" store="en-US" storeType="OMEX"/>
  <we:alternateReferences>
    <we:reference id="WA200001584" version="3.0.5.6"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2A2B2ED8-CCC2-4D53-B2CB-F3EDB0021029}">
  <we:reference id="wa200006007" version="1.2.3.0" store="en-US" storeType="OMEX"/>
  <we:alternateReferences>
    <we:reference id="wa200006007" version="1.2.3.0" store="wa20000600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_xldudf_COPILOTR2</we:customFunctionIds>
      </we:customFunctionIdList>
    </a:ext>
  </we:extLst>
</we:webextension>
</file>

<file path=xl/webextensions/webextension3.xml><?xml version="1.0" encoding="utf-8"?>
<we:webextension xmlns:we="http://schemas.microsoft.com/office/webextensions/webextension/2010/11" id="{007A4F38-B6E7-4536-BB68-C5733FC60D55}">
  <we:reference id="wa200005271" version="2.4.4.0" store="en-US" storeType="OMEX"/>
  <we:alternateReferences>
    <we:reference id="wa200005271" version="2.4.4.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6E1D6-E9FA-404D-8615-AB83DC5E1B8D}">
  <sheetPr codeName="Sheet4"/>
  <dimension ref="B3:F28"/>
  <sheetViews>
    <sheetView showGridLines="0" topLeftCell="A2" workbookViewId="0">
      <selection activeCell="F26" sqref="F26"/>
    </sheetView>
  </sheetViews>
  <sheetFormatPr defaultColWidth="9" defaultRowHeight="14.4" x14ac:dyDescent="0.3"/>
  <cols>
    <col min="2" max="2" width="23.21875" bestFit="1" customWidth="1"/>
    <col min="3" max="3" width="21.6640625" bestFit="1" customWidth="1"/>
    <col min="4" max="4" width="14" bestFit="1" customWidth="1"/>
    <col min="5" max="5" width="11.109375" bestFit="1" customWidth="1"/>
    <col min="6" max="6" width="54.109375" customWidth="1"/>
  </cols>
  <sheetData>
    <row r="3" spans="2:6" x14ac:dyDescent="0.3">
      <c r="B3" s="2" t="s">
        <v>1</v>
      </c>
      <c r="C3" s="2" t="s">
        <v>11</v>
      </c>
      <c r="D3" s="2" t="s">
        <v>12</v>
      </c>
    </row>
    <row r="4" spans="2:6" x14ac:dyDescent="0.3">
      <c r="B4" s="3" t="s">
        <v>0</v>
      </c>
      <c r="C4" s="1" t="s">
        <v>3</v>
      </c>
      <c r="D4" s="1" t="s">
        <v>13</v>
      </c>
    </row>
    <row r="5" spans="2:6" x14ac:dyDescent="0.3">
      <c r="B5" s="3" t="s">
        <v>4</v>
      </c>
      <c r="C5" s="1"/>
      <c r="D5" s="1"/>
    </row>
    <row r="6" spans="2:6" x14ac:dyDescent="0.3">
      <c r="B6" s="4" t="s">
        <v>14</v>
      </c>
      <c r="C6" s="1" t="s">
        <v>15</v>
      </c>
      <c r="D6" s="1" t="s">
        <v>16</v>
      </c>
    </row>
    <row r="7" spans="2:6" x14ac:dyDescent="0.3">
      <c r="B7" s="4" t="s">
        <v>17</v>
      </c>
      <c r="C7" s="1" t="s">
        <v>18</v>
      </c>
      <c r="D7" s="1" t="s">
        <v>25</v>
      </c>
    </row>
    <row r="8" spans="2:6" x14ac:dyDescent="0.3">
      <c r="B8" s="3" t="s">
        <v>5</v>
      </c>
      <c r="C8" s="1" t="s">
        <v>19</v>
      </c>
      <c r="D8" s="1" t="s">
        <v>20</v>
      </c>
    </row>
    <row r="9" spans="2:6" x14ac:dyDescent="0.3">
      <c r="B9" s="3" t="s">
        <v>6</v>
      </c>
      <c r="C9" s="1" t="s">
        <v>7</v>
      </c>
      <c r="D9" s="1" t="s">
        <v>21</v>
      </c>
    </row>
    <row r="10" spans="2:6" x14ac:dyDescent="0.3">
      <c r="B10" s="3" t="s">
        <v>8</v>
      </c>
      <c r="C10" s="1" t="s">
        <v>9</v>
      </c>
      <c r="D10" s="1" t="s">
        <v>22</v>
      </c>
    </row>
    <row r="11" spans="2:6" x14ac:dyDescent="0.3">
      <c r="B11" s="3" t="s">
        <v>10</v>
      </c>
      <c r="C11" s="1" t="s">
        <v>23</v>
      </c>
      <c r="D11" s="1" t="s">
        <v>24</v>
      </c>
    </row>
    <row r="13" spans="2:6" ht="21" x14ac:dyDescent="0.4">
      <c r="E13" s="9"/>
      <c r="F13" s="26" t="s">
        <v>66</v>
      </c>
    </row>
    <row r="14" spans="2:6" x14ac:dyDescent="0.3">
      <c r="E14" s="9">
        <v>1</v>
      </c>
      <c r="F14" s="27" t="s">
        <v>57</v>
      </c>
    </row>
    <row r="15" spans="2:6" x14ac:dyDescent="0.3">
      <c r="E15" s="9">
        <v>2</v>
      </c>
      <c r="F15" s="27" t="s">
        <v>58</v>
      </c>
    </row>
    <row r="16" spans="2:6" x14ac:dyDescent="0.3">
      <c r="E16" s="9">
        <v>3</v>
      </c>
      <c r="F16" s="27" t="s">
        <v>59</v>
      </c>
    </row>
    <row r="17" spans="5:6" x14ac:dyDescent="0.3">
      <c r="E17" s="9">
        <v>4</v>
      </c>
      <c r="F17" s="27" t="s">
        <v>60</v>
      </c>
    </row>
    <row r="18" spans="5:6" x14ac:dyDescent="0.3">
      <c r="E18" s="9">
        <v>5</v>
      </c>
      <c r="F18" s="27" t="s">
        <v>61</v>
      </c>
    </row>
    <row r="19" spans="5:6" x14ac:dyDescent="0.3">
      <c r="E19" s="9">
        <v>6</v>
      </c>
      <c r="F19" s="27" t="s">
        <v>62</v>
      </c>
    </row>
    <row r="20" spans="5:6" x14ac:dyDescent="0.3">
      <c r="E20" s="9">
        <v>7</v>
      </c>
      <c r="F20" s="27" t="s">
        <v>63</v>
      </c>
    </row>
    <row r="21" spans="5:6" x14ac:dyDescent="0.3">
      <c r="E21" s="9">
        <v>8</v>
      </c>
      <c r="F21" s="27" t="s">
        <v>64</v>
      </c>
    </row>
    <row r="22" spans="5:6" x14ac:dyDescent="0.3">
      <c r="E22" s="9">
        <v>9</v>
      </c>
      <c r="F22" s="27" t="s">
        <v>65</v>
      </c>
    </row>
    <row r="23" spans="5:6" x14ac:dyDescent="0.3">
      <c r="E23" s="9"/>
      <c r="F23" s="9"/>
    </row>
    <row r="24" spans="5:6" ht="15.6" x14ac:dyDescent="0.3">
      <c r="E24" s="9"/>
      <c r="F24" s="28" t="s">
        <v>68</v>
      </c>
    </row>
    <row r="25" spans="5:6" x14ac:dyDescent="0.3">
      <c r="E25" s="9"/>
      <c r="F25" s="9"/>
    </row>
    <row r="26" spans="5:6" ht="57.6" x14ac:dyDescent="0.3">
      <c r="E26" s="9"/>
      <c r="F26" s="29" t="s">
        <v>67</v>
      </c>
    </row>
    <row r="27" spans="5:6" x14ac:dyDescent="0.3">
      <c r="E27" s="9"/>
      <c r="F27" s="9"/>
    </row>
    <row r="28" spans="5:6" x14ac:dyDescent="0.3">
      <c r="E28" s="9"/>
      <c r="F28" s="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FA972-74EE-44AB-8D5E-856096384155}">
  <sheetPr codeName="Sheet5"/>
  <dimension ref="B1:AA30"/>
  <sheetViews>
    <sheetView showGridLines="0" tabSelected="1" workbookViewId="0">
      <selection activeCell="F18" activeCellId="6" sqref="F4:J4 F8:J8 F10:J10 F12:J12 F14:J14 F16:J16 F18:J18"/>
    </sheetView>
  </sheetViews>
  <sheetFormatPr defaultRowHeight="14.4" x14ac:dyDescent="0.3"/>
  <cols>
    <col min="3" max="3" width="24" bestFit="1" customWidth="1"/>
    <col min="4" max="4" width="16.5546875" bestFit="1" customWidth="1"/>
    <col min="5" max="5" width="19.21875" bestFit="1" customWidth="1"/>
    <col min="10" max="10" width="8.88671875" customWidth="1"/>
    <col min="12" max="12" width="18.33203125" customWidth="1"/>
    <col min="19" max="19" width="7.109375" customWidth="1"/>
    <col min="20" max="20" width="22.44140625" customWidth="1"/>
    <col min="21" max="21" width="8.33203125" bestFit="1" customWidth="1"/>
    <col min="22" max="22" width="7.44140625" customWidth="1"/>
  </cols>
  <sheetData>
    <row r="1" spans="2:21" x14ac:dyDescent="0.3">
      <c r="B1" s="9"/>
      <c r="C1" s="9"/>
      <c r="D1" s="9"/>
      <c r="E1" s="9"/>
      <c r="F1" s="9"/>
      <c r="G1" s="9"/>
      <c r="H1" s="9"/>
      <c r="I1" s="9"/>
      <c r="J1" s="9"/>
      <c r="K1" s="9"/>
      <c r="L1" s="9"/>
      <c r="M1" s="9"/>
      <c r="N1" s="9"/>
      <c r="T1" t="s">
        <v>27</v>
      </c>
    </row>
    <row r="2" spans="2:21" ht="25.8" x14ac:dyDescent="0.5">
      <c r="B2" s="9"/>
      <c r="C2" s="30" t="s">
        <v>69</v>
      </c>
      <c r="D2" s="30"/>
      <c r="E2" s="30"/>
      <c r="F2" s="30"/>
      <c r="G2" s="30"/>
      <c r="H2" s="30"/>
      <c r="I2" s="30"/>
      <c r="J2" s="30"/>
      <c r="K2" s="30"/>
      <c r="L2" s="30"/>
      <c r="M2" s="9"/>
      <c r="N2" s="9"/>
      <c r="T2" s="2" t="s">
        <v>1</v>
      </c>
      <c r="U2" s="3" t="s">
        <v>29</v>
      </c>
    </row>
    <row r="3" spans="2:21" ht="18" thickBot="1" x14ac:dyDescent="0.5">
      <c r="B3" s="9"/>
      <c r="C3" s="9"/>
      <c r="D3" s="10" t="s">
        <v>11</v>
      </c>
      <c r="E3" s="10" t="s">
        <v>12</v>
      </c>
      <c r="F3" s="9"/>
      <c r="G3" s="9"/>
      <c r="H3" s="9"/>
      <c r="I3" s="9"/>
      <c r="J3" s="9"/>
      <c r="K3" s="9"/>
      <c r="L3" s="9"/>
      <c r="M3" s="9"/>
      <c r="N3" s="9"/>
      <c r="T3" s="3" t="s">
        <v>0</v>
      </c>
      <c r="U3" s="1">
        <f>F4</f>
        <v>0</v>
      </c>
    </row>
    <row r="4" spans="2:21" ht="18.600000000000001" thickBot="1" x14ac:dyDescent="0.4">
      <c r="B4" s="9"/>
      <c r="C4" s="11" t="s">
        <v>0</v>
      </c>
      <c r="D4" s="12" t="s">
        <v>30</v>
      </c>
      <c r="E4" s="13" t="s">
        <v>36</v>
      </c>
      <c r="F4" s="32"/>
      <c r="G4" s="33"/>
      <c r="H4" s="33"/>
      <c r="I4" s="33"/>
      <c r="J4" s="33"/>
      <c r="K4" s="23" t="str">
        <f>IF(F4="","","P")</f>
        <v/>
      </c>
      <c r="L4" s="24" t="str">
        <f>IF(F4="","",IF(F4&lt;70,"Below Normal",IF(F4&lt;=99,"Normal",IF(F4&gt;=125,"High Risk","Moderate prediabetic"))))</f>
        <v/>
      </c>
      <c r="M4" s="9"/>
      <c r="N4" s="9"/>
      <c r="T4" s="7" t="s">
        <v>14</v>
      </c>
      <c r="U4" s="1">
        <f>F8</f>
        <v>0</v>
      </c>
    </row>
    <row r="5" spans="2:21" ht="15" thickTop="1" x14ac:dyDescent="0.3">
      <c r="B5" s="9"/>
      <c r="C5" s="9"/>
      <c r="D5" s="37" t="str">
        <f>IF(F21="","",IF(F21&lt;=5,"Low Risk",""))</f>
        <v/>
      </c>
      <c r="E5" s="38"/>
      <c r="F5" s="9"/>
      <c r="G5" s="39" t="str">
        <f>IF(F21="", "", IF(F21&gt;10, "High Risk", IF(F21&gt;5, "Moderate Risk", "")))</f>
        <v/>
      </c>
      <c r="H5" s="40"/>
      <c r="I5" s="40"/>
      <c r="J5" s="41"/>
      <c r="K5" s="22"/>
      <c r="L5" s="22"/>
      <c r="M5" s="9"/>
      <c r="N5" s="9"/>
      <c r="T5" s="7" t="s">
        <v>17</v>
      </c>
      <c r="U5" s="1">
        <f>F10</f>
        <v>0</v>
      </c>
    </row>
    <row r="6" spans="2:21" x14ac:dyDescent="0.3">
      <c r="B6" s="9"/>
      <c r="C6" s="11" t="s">
        <v>4</v>
      </c>
      <c r="D6" s="37"/>
      <c r="E6" s="38"/>
      <c r="F6" s="9"/>
      <c r="G6" s="42"/>
      <c r="H6" s="43"/>
      <c r="I6" s="43"/>
      <c r="J6" s="44"/>
      <c r="K6" s="25" t="str">
        <f>IF(F6="","","P")</f>
        <v/>
      </c>
      <c r="L6" s="22"/>
      <c r="M6" s="9"/>
      <c r="N6" s="9"/>
      <c r="T6" s="3" t="s">
        <v>5</v>
      </c>
      <c r="U6" s="1">
        <f>F12</f>
        <v>0</v>
      </c>
    </row>
    <row r="7" spans="2:21" ht="15" thickBot="1" x14ac:dyDescent="0.35">
      <c r="B7" s="9"/>
      <c r="C7" s="9"/>
      <c r="D7" s="37"/>
      <c r="E7" s="38"/>
      <c r="F7" s="9"/>
      <c r="G7" s="45"/>
      <c r="H7" s="46"/>
      <c r="I7" s="46"/>
      <c r="J7" s="47"/>
      <c r="K7" s="22"/>
      <c r="L7" s="22"/>
      <c r="M7" s="9"/>
      <c r="N7" s="9"/>
      <c r="T7" s="3" t="s">
        <v>6</v>
      </c>
      <c r="U7" s="1">
        <f>F14</f>
        <v>0</v>
      </c>
    </row>
    <row r="8" spans="2:21" ht="19.2" thickTop="1" thickBot="1" x14ac:dyDescent="0.4">
      <c r="B8" s="9"/>
      <c r="C8" s="14" t="s">
        <v>14</v>
      </c>
      <c r="D8" s="12" t="s">
        <v>31</v>
      </c>
      <c r="E8" s="13" t="s">
        <v>35</v>
      </c>
      <c r="F8" s="32"/>
      <c r="G8" s="34"/>
      <c r="H8" s="34"/>
      <c r="I8" s="34"/>
      <c r="J8" s="34"/>
      <c r="K8" s="23" t="str">
        <f>IF(F8="","","P")</f>
        <v/>
      </c>
      <c r="L8" s="24" t="str">
        <f>IF(F8="","",IF(F8&lt;90,"Below Normal",IF(F8&lt;=119,"Normal",IF(F8&gt;139,"High Risk","Moderately High"))))</f>
        <v/>
      </c>
      <c r="M8" s="9"/>
      <c r="N8" s="9"/>
      <c r="T8" s="3" t="s">
        <v>8</v>
      </c>
      <c r="U8" s="1">
        <f>F16</f>
        <v>0</v>
      </c>
    </row>
    <row r="9" spans="2:21" ht="15" thickBot="1" x14ac:dyDescent="0.35">
      <c r="B9" s="9"/>
      <c r="C9" s="9"/>
      <c r="D9" s="15"/>
      <c r="E9" s="16"/>
      <c r="F9" s="9"/>
      <c r="G9" s="9"/>
      <c r="H9" s="9"/>
      <c r="I9" s="9"/>
      <c r="J9" s="9"/>
      <c r="K9" s="22"/>
      <c r="L9" s="22"/>
      <c r="M9" s="9"/>
      <c r="N9" s="9"/>
      <c r="T9" s="3" t="s">
        <v>10</v>
      </c>
      <c r="U9" s="1">
        <f>F18</f>
        <v>0</v>
      </c>
    </row>
    <row r="10" spans="2:21" ht="18.600000000000001" thickBot="1" x14ac:dyDescent="0.4">
      <c r="B10" s="9"/>
      <c r="C10" s="14" t="s">
        <v>17</v>
      </c>
      <c r="D10" s="12" t="s">
        <v>32</v>
      </c>
      <c r="E10" s="13" t="s">
        <v>39</v>
      </c>
      <c r="F10" s="32"/>
      <c r="G10" s="35"/>
      <c r="H10" s="35"/>
      <c r="I10" s="35"/>
      <c r="J10" s="35"/>
      <c r="K10" s="23" t="str">
        <f>IF(F10="","","P")</f>
        <v/>
      </c>
      <c r="L10" s="24" t="str">
        <f>IF(F10="","",IF(F10&lt;60,"Below Normal",IF(F10&lt;=79,"Normal",IF(F10&gt;89,"High Risk","Moderately High"))))</f>
        <v/>
      </c>
      <c r="M10" s="9"/>
      <c r="N10" s="9"/>
      <c r="T10" s="3" t="s">
        <v>28</v>
      </c>
      <c r="U10" s="1">
        <f>COUNTA(F4,F8,F10,F12,F14,F16,F18)</f>
        <v>0</v>
      </c>
    </row>
    <row r="11" spans="2:21" ht="15" thickBot="1" x14ac:dyDescent="0.35">
      <c r="B11" s="9"/>
      <c r="C11" s="9"/>
      <c r="D11" s="15"/>
      <c r="E11" s="16"/>
      <c r="F11" s="9"/>
      <c r="G11" s="9"/>
      <c r="H11" s="9"/>
      <c r="I11" s="9"/>
      <c r="J11" s="9"/>
      <c r="K11" s="22"/>
      <c r="L11" s="22"/>
      <c r="M11" s="9"/>
      <c r="N11" s="9"/>
    </row>
    <row r="12" spans="2:21" ht="18.600000000000001" thickBot="1" x14ac:dyDescent="0.4">
      <c r="B12" s="9"/>
      <c r="C12" s="11" t="s">
        <v>5</v>
      </c>
      <c r="D12" s="17" t="s">
        <v>37</v>
      </c>
      <c r="E12" s="13" t="s">
        <v>40</v>
      </c>
      <c r="F12" s="32"/>
      <c r="G12" s="35"/>
      <c r="H12" s="35"/>
      <c r="I12" s="35"/>
      <c r="J12" s="35"/>
      <c r="K12" s="23" t="str">
        <f>IF(F12="","","P")</f>
        <v/>
      </c>
      <c r="L12" s="24" t="str">
        <f>IF(F12="","",IF(F12&lt;10,"Below Normal",IF(F12&lt;=35,"Normal",IF(F12&gt;50,"High Risk","Moderately High"))))</f>
        <v/>
      </c>
      <c r="M12" s="9"/>
      <c r="N12" s="9"/>
      <c r="T12" s="31" t="s">
        <v>26</v>
      </c>
      <c r="U12" s="31"/>
    </row>
    <row r="13" spans="2:21" ht="15" thickBot="1" x14ac:dyDescent="0.35">
      <c r="B13" s="9"/>
      <c r="C13" s="9"/>
      <c r="D13" s="15"/>
      <c r="E13" s="16"/>
      <c r="F13" s="9"/>
      <c r="G13" s="9"/>
      <c r="H13" s="9"/>
      <c r="I13" s="9"/>
      <c r="J13" s="9"/>
      <c r="K13" s="22"/>
      <c r="L13" s="22"/>
      <c r="M13" s="9"/>
      <c r="N13" s="9"/>
      <c r="T13" s="31"/>
      <c r="U13" s="31"/>
    </row>
    <row r="14" spans="2:21" ht="18.600000000000001" customHeight="1" thickBot="1" x14ac:dyDescent="0.4">
      <c r="B14" s="9"/>
      <c r="C14" s="11" t="s">
        <v>6</v>
      </c>
      <c r="D14" s="17" t="s">
        <v>38</v>
      </c>
      <c r="E14" s="13" t="s">
        <v>41</v>
      </c>
      <c r="F14" s="32"/>
      <c r="G14" s="35"/>
      <c r="H14" s="35"/>
      <c r="I14" s="35"/>
      <c r="J14" s="35"/>
      <c r="K14" s="23" t="str">
        <f>IF(F14="","","P")</f>
        <v/>
      </c>
      <c r="L14" s="24" t="str">
        <f>IF(F14="","",IF(F14&lt;2,"Below Normal",IF(F14&lt;=25,"Normal",IF(F14&gt;100,"High Risk","Moderately High"))))</f>
        <v/>
      </c>
      <c r="M14" s="9"/>
      <c r="N14" s="9"/>
    </row>
    <row r="15" spans="2:21" ht="15" customHeight="1" thickBot="1" x14ac:dyDescent="0.35">
      <c r="B15" s="9"/>
      <c r="C15" s="9"/>
      <c r="D15" s="15"/>
      <c r="E15" s="16"/>
      <c r="F15" s="9"/>
      <c r="G15" s="9"/>
      <c r="H15" s="9"/>
      <c r="I15" s="9"/>
      <c r="J15" s="9"/>
      <c r="K15" s="22"/>
      <c r="L15" s="22"/>
      <c r="M15" s="9"/>
      <c r="N15" s="9"/>
    </row>
    <row r="16" spans="2:21" ht="18.600000000000001" thickBot="1" x14ac:dyDescent="0.4">
      <c r="B16" s="9"/>
      <c r="C16" s="11" t="s">
        <v>8</v>
      </c>
      <c r="D16" s="12" t="s">
        <v>33</v>
      </c>
      <c r="E16" s="13" t="s">
        <v>42</v>
      </c>
      <c r="F16" s="32"/>
      <c r="G16" s="35"/>
      <c r="H16" s="35"/>
      <c r="I16" s="35"/>
      <c r="J16" s="35"/>
      <c r="K16" s="23" t="str">
        <f>IF(F16="","","P")</f>
        <v/>
      </c>
      <c r="L16" s="24" t="str">
        <f>IF(F16="","",IF(F16&lt;18.5,"Below Normal",IF(F16&lt;=24.9,"Normal",IF(F16&gt;30,"High Risk","Moderately High"))))</f>
        <v/>
      </c>
      <c r="M16" s="9"/>
      <c r="N16" s="9"/>
    </row>
    <row r="17" spans="2:27" ht="15" thickBot="1" x14ac:dyDescent="0.35">
      <c r="B17" s="9"/>
      <c r="C17" s="9"/>
      <c r="D17" s="15"/>
      <c r="E17" s="16"/>
      <c r="F17" s="9"/>
      <c r="G17" s="9"/>
      <c r="H17" s="9"/>
      <c r="I17" s="9"/>
      <c r="J17" s="9"/>
      <c r="K17" s="22"/>
      <c r="L17" s="22"/>
      <c r="M17" s="9"/>
      <c r="N17" s="9"/>
    </row>
    <row r="18" spans="2:27" ht="18.600000000000001" thickBot="1" x14ac:dyDescent="0.4">
      <c r="B18" s="9"/>
      <c r="C18" s="11" t="s">
        <v>10</v>
      </c>
      <c r="D18" s="12" t="s">
        <v>34</v>
      </c>
      <c r="E18" s="13" t="s">
        <v>43</v>
      </c>
      <c r="F18" s="32"/>
      <c r="G18" s="35"/>
      <c r="H18" s="35"/>
      <c r="I18" s="35"/>
      <c r="J18" s="35"/>
      <c r="K18" s="23" t="str">
        <f>IF(F18="","","P")</f>
        <v/>
      </c>
      <c r="L18" s="24" t="str">
        <f>IF(F18="","",IF(F18&lt;0.2,"Below Normal",IF(F18&lt;=0.5,"Normal",IF(F18&gt;0.8,"High Risk","Moderately High"))))</f>
        <v/>
      </c>
      <c r="M18" s="9"/>
      <c r="N18" s="9"/>
    </row>
    <row r="19" spans="2:27" x14ac:dyDescent="0.3">
      <c r="B19" s="9"/>
      <c r="C19" s="9"/>
      <c r="D19" s="9"/>
      <c r="E19" s="9"/>
      <c r="F19" s="9"/>
      <c r="G19" s="9"/>
      <c r="H19" s="9"/>
      <c r="I19" s="9"/>
      <c r="J19" s="9"/>
      <c r="K19" s="22"/>
      <c r="L19" s="22"/>
      <c r="M19" s="9"/>
      <c r="N19" s="9"/>
      <c r="AA19" s="8"/>
    </row>
    <row r="20" spans="2:27" ht="15" thickBot="1" x14ac:dyDescent="0.35">
      <c r="B20" s="36" t="s">
        <v>45</v>
      </c>
      <c r="C20" s="36"/>
      <c r="D20" s="9"/>
      <c r="E20" s="9"/>
      <c r="F20" s="9"/>
      <c r="G20" s="9"/>
      <c r="H20" s="9"/>
      <c r="I20" s="9"/>
      <c r="J20" s="9"/>
      <c r="K20" s="22"/>
      <c r="L20" s="22"/>
      <c r="M20" s="9"/>
      <c r="N20" s="9"/>
    </row>
    <row r="21" spans="2:27" ht="16.8" thickTop="1" thickBot="1" x14ac:dyDescent="0.35">
      <c r="B21" s="18" t="s">
        <v>46</v>
      </c>
      <c r="C21" s="18" t="s">
        <v>44</v>
      </c>
      <c r="D21" s="9"/>
      <c r="E21" s="19" t="s">
        <v>56</v>
      </c>
      <c r="F21" s="20" t="str">
        <f>IF(
   OR(NOT(ISNUMBER(F4)), NOT(ISNUMBER(F8)), NOT(ISNUMBER(F10)), NOT(ISNUMBER(F12)), NOT(ISNUMBER(F14)), NOT(ISNUMBER(F16)), NOT(ISNUMBER(F18))),
   "",
   IF(F4&lt;=99,0,IF(F4&lt;=125,1,4)) +
   IF(F8&lt;=119,0,IF(F8&lt;=139,1,2)) +
   IF(F10&lt;=79,0,IF(F10&lt;=89,1,2)) +
   IF(F12&lt;=35,0,IF(F12&lt;=50,1,1)) +
   IF(F14&lt;=25,0,IF(F14&lt;=100,1,3)) +
   IF(F16&lt;=24.9,0,IF(F16&lt;=30,1,3)) +
   IF(F18&lt;=0.5,0,IF(F18&lt;=0.8,1,2))
)</f>
        <v/>
      </c>
      <c r="G21" s="9"/>
      <c r="H21" s="9"/>
      <c r="I21" s="9"/>
      <c r="J21" s="9"/>
      <c r="K21" s="22"/>
      <c r="L21" s="22"/>
      <c r="M21" s="9"/>
      <c r="N21" s="9"/>
    </row>
    <row r="22" spans="2:27" ht="15" thickTop="1" x14ac:dyDescent="0.3">
      <c r="B22" s="18" t="s">
        <v>47</v>
      </c>
      <c r="C22" s="18" t="s">
        <v>49</v>
      </c>
      <c r="D22" s="9"/>
      <c r="E22" s="9"/>
      <c r="F22" s="9"/>
      <c r="G22" s="9"/>
      <c r="H22" s="9"/>
      <c r="I22" s="9"/>
      <c r="J22" s="9"/>
      <c r="K22" s="22"/>
      <c r="L22" s="22"/>
      <c r="M22" s="9"/>
      <c r="N22" s="9"/>
    </row>
    <row r="23" spans="2:27" x14ac:dyDescent="0.3">
      <c r="B23" s="18" t="s">
        <v>48</v>
      </c>
      <c r="C23" s="18" t="s">
        <v>50</v>
      </c>
      <c r="D23" s="9"/>
      <c r="E23" s="9"/>
      <c r="F23" s="9"/>
      <c r="G23" s="9"/>
      <c r="H23" s="9"/>
      <c r="I23" s="9"/>
      <c r="J23" s="9"/>
      <c r="K23" s="22"/>
      <c r="L23" s="22"/>
      <c r="M23" s="9"/>
      <c r="N23" s="9"/>
    </row>
    <row r="24" spans="2:27" x14ac:dyDescent="0.3">
      <c r="B24" s="9"/>
      <c r="C24" s="9"/>
      <c r="D24" s="9"/>
      <c r="E24" s="9"/>
      <c r="F24" s="9"/>
      <c r="G24" s="9"/>
      <c r="H24" s="9"/>
      <c r="I24" s="9"/>
      <c r="J24" s="9"/>
      <c r="K24" s="22"/>
      <c r="L24" s="22"/>
      <c r="M24" s="9"/>
      <c r="N24" s="9"/>
    </row>
    <row r="25" spans="2:27" x14ac:dyDescent="0.3">
      <c r="B25" s="36" t="s">
        <v>51</v>
      </c>
      <c r="C25" s="36"/>
      <c r="D25" s="9"/>
      <c r="E25" s="9"/>
      <c r="F25" s="9"/>
      <c r="G25" s="9"/>
      <c r="H25" s="9"/>
      <c r="I25" s="9"/>
      <c r="J25" s="9"/>
      <c r="K25" s="22"/>
      <c r="L25" s="22"/>
      <c r="M25" s="9"/>
      <c r="N25" s="9"/>
    </row>
    <row r="26" spans="2:27" x14ac:dyDescent="0.3">
      <c r="B26" s="18" t="s">
        <v>52</v>
      </c>
      <c r="C26" s="18" t="s">
        <v>55</v>
      </c>
      <c r="D26" s="9"/>
      <c r="E26" s="9"/>
      <c r="F26" s="9"/>
      <c r="G26" s="9"/>
      <c r="H26" s="9"/>
      <c r="I26" s="9"/>
      <c r="J26" s="9"/>
      <c r="K26" s="22"/>
      <c r="L26" s="22"/>
      <c r="M26" s="9"/>
      <c r="N26" s="9"/>
    </row>
    <row r="27" spans="2:27" x14ac:dyDescent="0.3">
      <c r="B27" s="21" t="s">
        <v>53</v>
      </c>
      <c r="C27" s="18" t="s">
        <v>49</v>
      </c>
      <c r="D27" s="9"/>
      <c r="E27" s="9"/>
      <c r="F27" s="9"/>
      <c r="G27" s="9"/>
      <c r="H27" s="9"/>
      <c r="I27" s="9"/>
      <c r="J27" s="9"/>
      <c r="K27" s="22"/>
      <c r="L27" s="22"/>
      <c r="M27" s="9"/>
      <c r="N27" s="9"/>
    </row>
    <row r="28" spans="2:27" x14ac:dyDescent="0.3">
      <c r="B28" s="21" t="s">
        <v>54</v>
      </c>
      <c r="C28" s="18" t="s">
        <v>2</v>
      </c>
      <c r="D28" s="9"/>
      <c r="E28" s="9"/>
      <c r="F28" s="9"/>
      <c r="G28" s="9"/>
      <c r="H28" s="9"/>
      <c r="I28" s="9"/>
      <c r="J28" s="9"/>
      <c r="K28" s="22"/>
      <c r="L28" s="22"/>
      <c r="M28" s="9"/>
      <c r="N28" s="9"/>
    </row>
    <row r="29" spans="2:27" x14ac:dyDescent="0.3">
      <c r="B29" s="9"/>
      <c r="C29" s="9"/>
      <c r="D29" s="9"/>
      <c r="E29" s="9"/>
      <c r="F29" s="9"/>
      <c r="G29" s="9"/>
      <c r="H29" s="9"/>
      <c r="I29" s="9"/>
      <c r="J29" s="9"/>
      <c r="K29" s="22"/>
      <c r="L29" s="22"/>
      <c r="M29" s="9"/>
      <c r="N29" s="9"/>
    </row>
    <row r="30" spans="2:27" x14ac:dyDescent="0.3">
      <c r="B30" s="9"/>
      <c r="C30" s="9"/>
      <c r="D30" s="9"/>
      <c r="E30" s="9"/>
      <c r="F30" s="9"/>
      <c r="G30" s="9"/>
      <c r="H30" s="9"/>
      <c r="I30" s="9"/>
      <c r="J30" s="9"/>
      <c r="K30" s="9"/>
      <c r="L30" s="9"/>
      <c r="M30" s="9"/>
      <c r="N30" s="9"/>
    </row>
  </sheetData>
  <mergeCells count="13">
    <mergeCell ref="B20:C20"/>
    <mergeCell ref="B25:C25"/>
    <mergeCell ref="D5:E7"/>
    <mergeCell ref="G5:J7"/>
    <mergeCell ref="F16:J16"/>
    <mergeCell ref="F18:J18"/>
    <mergeCell ref="F14:J14"/>
    <mergeCell ref="C2:L2"/>
    <mergeCell ref="T12:U13"/>
    <mergeCell ref="F4:J4"/>
    <mergeCell ref="F8:J8"/>
    <mergeCell ref="F10:J10"/>
    <mergeCell ref="F12:J12"/>
  </mergeCells>
  <conditionalFormatting sqref="F4:J4 F8:J8 F12:J12 F16:J16 F18:J18 F10:J10">
    <cfRule type="containsBlanks" dxfId="40" priority="47">
      <formula>LEN(TRIM(F4))=0</formula>
    </cfRule>
  </conditionalFormatting>
  <conditionalFormatting sqref="M10:R10 F4:J4 F8:J8 F12:J12 F16:J16 F18:J18 F10:J10">
    <cfRule type="notContainsBlanks" dxfId="39" priority="46">
      <formula>LEN(TRIM(F4))&gt;0</formula>
    </cfRule>
  </conditionalFormatting>
  <conditionalFormatting sqref="K4 K6 K8 K10 K12 K16 K18">
    <cfRule type="notContainsBlanks" dxfId="38" priority="45">
      <formula>LEN(TRIM(K4))&gt;0</formula>
    </cfRule>
  </conditionalFormatting>
  <conditionalFormatting sqref="F14:J14">
    <cfRule type="containsBlanks" dxfId="37" priority="43">
      <formula>LEN(TRIM(F14))=0</formula>
    </cfRule>
  </conditionalFormatting>
  <conditionalFormatting sqref="F14:J14">
    <cfRule type="notContainsBlanks" dxfId="36" priority="42">
      <formula>LEN(TRIM(F14))&gt;0</formula>
    </cfRule>
  </conditionalFormatting>
  <conditionalFormatting sqref="K14">
    <cfRule type="notContainsBlanks" dxfId="35" priority="40">
      <formula>LEN(TRIM(K14))&gt;0</formula>
    </cfRule>
  </conditionalFormatting>
  <conditionalFormatting sqref="AA20">
    <cfRule type="cellIs" dxfId="34" priority="37" operator="equal">
      <formula>"Below Normal"</formula>
    </cfRule>
    <cfRule type="cellIs" dxfId="33" priority="38" operator="equal">
      <formula>"Below Normal"</formula>
    </cfRule>
  </conditionalFormatting>
  <conditionalFormatting sqref="L4">
    <cfRule type="cellIs" dxfId="32" priority="31" operator="equal">
      <formula>"Moderate Prediabetic"</formula>
    </cfRule>
    <cfRule type="cellIs" dxfId="31" priority="32" operator="equal">
      <formula>"High Risk"</formula>
    </cfRule>
    <cfRule type="cellIs" dxfId="30" priority="33" operator="equal">
      <formula>"Normal"</formula>
    </cfRule>
    <cfRule type="cellIs" dxfId="29" priority="34" operator="equal">
      <formula>"Below Normal"</formula>
    </cfRule>
  </conditionalFormatting>
  <conditionalFormatting sqref="L8">
    <cfRule type="cellIs" dxfId="28" priority="27" operator="equal">
      <formula>"Moderately High"</formula>
    </cfRule>
    <cfRule type="cellIs" dxfId="27" priority="28" operator="equal">
      <formula>"High Risk"</formula>
    </cfRule>
    <cfRule type="cellIs" dxfId="26" priority="29" operator="equal">
      <formula>"Normal"</formula>
    </cfRule>
    <cfRule type="cellIs" dxfId="25" priority="30" operator="equal">
      <formula>"Below Normal"</formula>
    </cfRule>
  </conditionalFormatting>
  <conditionalFormatting sqref="L10">
    <cfRule type="cellIs" dxfId="24" priority="23" operator="equal">
      <formula>"Moderately High"</formula>
    </cfRule>
    <cfRule type="cellIs" dxfId="23" priority="24" operator="equal">
      <formula>"High Risk"</formula>
    </cfRule>
    <cfRule type="cellIs" dxfId="22" priority="25" operator="equal">
      <formula>"Normal"</formula>
    </cfRule>
    <cfRule type="cellIs" dxfId="21" priority="26" operator="equal">
      <formula>"Below Normal"</formula>
    </cfRule>
  </conditionalFormatting>
  <conditionalFormatting sqref="L12">
    <cfRule type="cellIs" dxfId="20" priority="19" operator="equal">
      <formula>"Moderately High"</formula>
    </cfRule>
    <cfRule type="cellIs" dxfId="19" priority="20" operator="equal">
      <formula>"High Risk"</formula>
    </cfRule>
    <cfRule type="cellIs" dxfId="18" priority="21" operator="equal">
      <formula>"Normal"</formula>
    </cfRule>
    <cfRule type="cellIs" dxfId="17" priority="22" operator="equal">
      <formula>"Below Normal"</formula>
    </cfRule>
  </conditionalFormatting>
  <conditionalFormatting sqref="L14">
    <cfRule type="cellIs" dxfId="16" priority="15" operator="equal">
      <formula>"Moderately High"</formula>
    </cfRule>
    <cfRule type="cellIs" dxfId="15" priority="16" operator="equal">
      <formula>"High Risk"</formula>
    </cfRule>
    <cfRule type="cellIs" dxfId="14" priority="17" operator="equal">
      <formula>"Normal"</formula>
    </cfRule>
    <cfRule type="cellIs" dxfId="13" priority="18" operator="equal">
      <formula>"Below Normal"</formula>
    </cfRule>
  </conditionalFormatting>
  <conditionalFormatting sqref="L16">
    <cfRule type="cellIs" dxfId="12" priority="10" operator="equal">
      <formula>"Moderately High"</formula>
    </cfRule>
    <cfRule type="cellIs" dxfId="11" priority="11" operator="equal">
      <formula>"High Risk"</formula>
    </cfRule>
    <cfRule type="cellIs" dxfId="10" priority="12" operator="equal">
      <formula>"Normal"</formula>
    </cfRule>
    <cfRule type="cellIs" dxfId="9" priority="13" operator="equal">
      <formula>"Below Normal"</formula>
    </cfRule>
  </conditionalFormatting>
  <conditionalFormatting sqref="L18">
    <cfRule type="cellIs" dxfId="8" priority="6" operator="equal">
      <formula>"Moderately High"</formula>
    </cfRule>
    <cfRule type="cellIs" dxfId="7" priority="7" operator="equal">
      <formula>"High Risk"</formula>
    </cfRule>
    <cfRule type="cellIs" dxfId="6" priority="8" operator="equal">
      <formula>"Normal"</formula>
    </cfRule>
    <cfRule type="cellIs" dxfId="5" priority="9" operator="equal">
      <formula>"Below Nomal"</formula>
    </cfRule>
  </conditionalFormatting>
  <conditionalFormatting sqref="T12:U13">
    <cfRule type="expression" dxfId="4" priority="5">
      <formula>COUNTA(F4,F8,F10,F12,F14,F16,F18) =7</formula>
    </cfRule>
  </conditionalFormatting>
  <conditionalFormatting sqref="D5:E7">
    <cfRule type="notContainsBlanks" dxfId="3" priority="3">
      <formula>LEN(TRIM(D5))&gt;0</formula>
    </cfRule>
    <cfRule type="containsBlanks" dxfId="2" priority="49">
      <formula>LEN(TRIM(D5))=0</formula>
    </cfRule>
  </conditionalFormatting>
  <conditionalFormatting sqref="G5:J7">
    <cfRule type="notContainsBlanks" dxfId="1" priority="1">
      <formula>LEN(TRIM(G5))&gt;0</formula>
    </cfRule>
    <cfRule type="containsBlanks" dxfId="0" priority="48">
      <formula>LEN(TRIM(G5))=0</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51DE7-6E24-441F-95A2-4D8748F526EE}">
  <sheetPr codeName="Sheet6"/>
  <dimension ref="B2:H9"/>
  <sheetViews>
    <sheetView topLeftCell="A2" workbookViewId="0">
      <selection activeCell="A4" sqref="A4:XFD4"/>
    </sheetView>
  </sheetViews>
  <sheetFormatPr defaultRowHeight="14.4" x14ac:dyDescent="0.3"/>
  <cols>
    <col min="2" max="2" width="16.5546875" customWidth="1"/>
    <col min="3" max="3" width="12.33203125" bestFit="1" customWidth="1"/>
    <col min="4" max="4" width="10.6640625" bestFit="1" customWidth="1"/>
    <col min="5" max="5" width="20.6640625" bestFit="1" customWidth="1"/>
    <col min="6" max="6" width="16.109375" bestFit="1" customWidth="1"/>
    <col min="7" max="7" width="12.88671875" bestFit="1" customWidth="1"/>
    <col min="8" max="8" width="26.21875" bestFit="1" customWidth="1"/>
    <col min="9" max="10" width="10.6640625" bestFit="1" customWidth="1"/>
  </cols>
  <sheetData>
    <row r="2" spans="2:8" x14ac:dyDescent="0.3">
      <c r="B2" s="5" t="s">
        <v>0</v>
      </c>
      <c r="C2" s="6" t="s">
        <v>14</v>
      </c>
      <c r="D2" s="6" t="s">
        <v>17</v>
      </c>
      <c r="E2" s="5" t="s">
        <v>5</v>
      </c>
      <c r="F2" s="5" t="s">
        <v>6</v>
      </c>
      <c r="G2" s="5" t="s">
        <v>8</v>
      </c>
      <c r="H2" s="5" t="s">
        <v>10</v>
      </c>
    </row>
    <row r="3" spans="2:8" hidden="1" x14ac:dyDescent="0.3">
      <c r="B3">
        <v>500</v>
      </c>
      <c r="C3">
        <v>120</v>
      </c>
      <c r="D3">
        <v>100</v>
      </c>
      <c r="E3">
        <v>10</v>
      </c>
      <c r="F3">
        <v>120</v>
      </c>
      <c r="G3">
        <v>19</v>
      </c>
      <c r="H3">
        <v>30</v>
      </c>
    </row>
    <row r="4" spans="2:8" x14ac:dyDescent="0.3">
      <c r="B4">
        <v>500</v>
      </c>
      <c r="C4">
        <v>90</v>
      </c>
      <c r="D4">
        <v>56</v>
      </c>
      <c r="E4">
        <v>6</v>
      </c>
      <c r="F4">
        <v>6</v>
      </c>
      <c r="G4">
        <v>7</v>
      </c>
      <c r="H4">
        <v>7</v>
      </c>
    </row>
    <row r="5" spans="2:8" x14ac:dyDescent="0.3">
      <c r="B5">
        <v>500</v>
      </c>
      <c r="C5">
        <v>45</v>
      </c>
      <c r="D5">
        <v>45</v>
      </c>
      <c r="E5">
        <v>67</v>
      </c>
      <c r="F5">
        <v>56</v>
      </c>
      <c r="G5">
        <v>500</v>
      </c>
      <c r="H5">
        <v>34</v>
      </c>
    </row>
    <row r="6" spans="2:8" x14ac:dyDescent="0.3">
      <c r="B6">
        <v>300</v>
      </c>
      <c r="C6">
        <v>23</v>
      </c>
      <c r="D6">
        <v>5</v>
      </c>
      <c r="E6">
        <v>7</v>
      </c>
      <c r="F6">
        <v>500</v>
      </c>
      <c r="G6">
        <v>400</v>
      </c>
      <c r="H6">
        <v>7</v>
      </c>
    </row>
    <row r="7" spans="2:8" x14ac:dyDescent="0.3">
      <c r="B7">
        <v>200</v>
      </c>
      <c r="C7">
        <v>54</v>
      </c>
      <c r="D7">
        <v>6</v>
      </c>
      <c r="E7">
        <v>50</v>
      </c>
      <c r="F7">
        <v>400</v>
      </c>
      <c r="G7">
        <v>300</v>
      </c>
      <c r="H7">
        <v>67</v>
      </c>
    </row>
    <row r="8" spans="2:8" x14ac:dyDescent="0.3">
      <c r="B8">
        <v>12</v>
      </c>
      <c r="C8">
        <v>5</v>
      </c>
      <c r="D8">
        <v>5</v>
      </c>
      <c r="E8">
        <v>5</v>
      </c>
      <c r="F8">
        <v>5</v>
      </c>
      <c r="G8">
        <v>5</v>
      </c>
      <c r="H8">
        <v>5</v>
      </c>
    </row>
    <row r="9" spans="2:8" x14ac:dyDescent="0.3">
      <c r="B9">
        <v>70</v>
      </c>
      <c r="C9">
        <v>90</v>
      </c>
      <c r="D9">
        <v>60</v>
      </c>
      <c r="E9">
        <v>20</v>
      </c>
      <c r="F9">
        <v>3</v>
      </c>
      <c r="G9">
        <v>26</v>
      </c>
      <c r="H9">
        <v>6</v>
      </c>
    </row>
  </sheetData>
  <phoneticPr fontId="27"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8C423-3FDE-4DB5-AB1B-CDD3B48122CE}">
  <sheetPr codeName="Sheet7"/>
  <dimension ref="B9:H9"/>
  <sheetViews>
    <sheetView workbookViewId="0">
      <selection activeCell="B9" sqref="B9:H9"/>
    </sheetView>
  </sheetViews>
  <sheetFormatPr defaultRowHeight="14.4" x14ac:dyDescent="0.3"/>
  <sheetData>
    <row r="9" spans="2:8" x14ac:dyDescent="0.3">
      <c r="B9">
        <v>500</v>
      </c>
      <c r="C9">
        <v>120</v>
      </c>
      <c r="D9">
        <v>100</v>
      </c>
      <c r="E9">
        <v>10</v>
      </c>
      <c r="F9">
        <v>120</v>
      </c>
      <c r="G9">
        <v>19</v>
      </c>
      <c r="H9">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parameters</vt:lpstr>
      <vt:lpstr>App</vt:lpstr>
      <vt:lpstr>Data</vt:lpstr>
      <vt:lpstr>wrogh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Oluwafemi Omoniyi</cp:lastModifiedBy>
  <dcterms:created xsi:type="dcterms:W3CDTF">2025-05-24T17:42:49Z</dcterms:created>
  <dcterms:modified xsi:type="dcterms:W3CDTF">2025-06-21T06:32:25Z</dcterms:modified>
</cp:coreProperties>
</file>